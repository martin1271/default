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 Instructions" sheetId="1" state="visible" r:id="rId1"/>
    <sheet name="設定 Settings" sheetId="2" state="visible" r:id="rId2"/>
    <sheet name="員工更表輸入" sheetId="3" state="visible" r:id="rId3"/>
    <sheet name="主排更表" sheetId="4" state="visible" r:id="rId4"/>
    <sheet name="Summary" sheetId="5" state="visible" r:id="rId5"/>
    <sheet name="Lists" sheetId="6" state="hidden" r:id="rId6"/>
  </sheets>
  <definedNames>
    <definedName name="TimeList">Lists!$A$2:$A$27</definedName>
    <definedName name="DayList">Lists!$G$2:$G$8</definedName>
    <definedName name="AppliesList">Lists!$I$2:$I$11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203864"/>
      <sz val="12"/>
    </font>
    <font>
      <b val="1"/>
    </font>
    <font>
      <i val="1"/>
      <color rgb="00808080"/>
    </font>
    <font>
      <b val="1"/>
      <color rgb="00FFFFFF"/>
      <sz val="11"/>
    </font>
    <font>
      <b val="1"/>
      <sz val="9"/>
    </font>
    <font>
      <sz val="9"/>
    </font>
    <font>
      <b val="1"/>
      <color rgb="00FFFFFF"/>
      <sz val="16"/>
    </font>
  </fonts>
  <fills count="12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9E1F2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B4A7D6"/>
      </patternFill>
    </fill>
    <fill>
      <patternFill patternType="solid">
        <fgColor rgb="00F4B6C2"/>
      </patternFill>
    </fill>
    <fill>
      <patternFill patternType="solid">
        <fgColor rgb="0076D7C4"/>
      </patternFill>
    </fill>
    <fill>
      <patternFill patternType="solid">
        <fgColor rgb="004472C4"/>
      </patternFill>
    </fill>
    <fill>
      <patternFill patternType="solid">
        <fgColor rgb="001F8A7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8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18" fontId="0" fillId="0" borderId="0" pivotButton="0" quotePrefix="0" xfId="0"/>
    <xf numFmtId="18" fontId="0" fillId="0" borderId="1" pivotButton="0" quotePrefix="0" xfId="0"/>
    <xf numFmtId="2" fontId="0" fillId="0" borderId="0" pivotButton="0" quotePrefix="0" xfId="0"/>
    <xf numFmtId="0" fontId="4" fillId="0" borderId="0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8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5" fillId="9" borderId="0" pivotButton="0" quotePrefix="0" xfId="0"/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3" fillId="0" borderId="1" pivotButton="0" quotePrefix="0" xfId="0"/>
    <xf numFmtId="2" fontId="3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ill>
        <patternFill patternType="solid">
          <fgColor rgb="00FFC7CE"/>
        </patternFill>
      </fill>
    </dxf>
    <dxf>
      <fill>
        <patternFill patternType="solid">
          <fgColor rgb="009DC3E6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B4A7D6"/>
        </patternFill>
      </fill>
    </dxf>
    <dxf>
      <fill>
        <patternFill patternType="solid">
          <fgColor rgb="00F4B6C2"/>
        </patternFill>
      </fill>
    </dxf>
    <dxf>
      <fill>
        <patternFill patternType="solid">
          <fgColor rgb="0076D7C4"/>
        </patternFill>
      </fill>
    </dxf>
    <dxf>
      <fill>
        <patternFill patternType="solid">
          <fgColor rgb="00FF9999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使用說明 Instructions</t>
        </is>
      </c>
    </row>
    <row r="2">
      <c r="A2" s="2" t="inlineStr"/>
      <c r="B2" s="3" t="inlineStr"/>
    </row>
    <row r="3">
      <c r="A3" s="2" t="inlineStr">
        <is>
          <t>這個檔案是甚麼？</t>
        </is>
      </c>
      <c r="B3" s="3" t="inlineStr">
        <is>
          <t>一個自動化的員工排更表。你只需在『員工更表輸入』填時間，其餘頁面會自動更新。</t>
        </is>
      </c>
    </row>
    <row r="4">
      <c r="A4" s="2" t="inlineStr"/>
      <c r="B4" s="3" t="inlineStr"/>
    </row>
    <row r="5">
      <c r="A5" s="4" t="inlineStr">
        <is>
          <t>① 如何輸入員工更期</t>
        </is>
      </c>
    </row>
    <row r="6">
      <c r="A6" s="2" t="inlineStr">
        <is>
          <t>步驟</t>
        </is>
      </c>
      <c r="B6" s="3" t="inlineStr">
        <is>
          <t>到『員工更表輸入』頁，每位員工每天一列。</t>
        </is>
      </c>
    </row>
    <row r="7">
      <c r="A7" s="2" t="inlineStr"/>
      <c r="B7" s="3" t="inlineStr">
        <is>
          <t>用下拉選單選『上班』『下班』時間；有飯鐘就選『飯鐘開始/結束』，沒有就留空。</t>
        </is>
      </c>
    </row>
    <row r="8">
      <c r="A8" s="2" t="inlineStr"/>
      <c r="B8" s="3" t="inlineStr">
        <is>
          <t>放假的日子整列留空即可。『每日時數』與『主排更表』會自動計算。</t>
        </is>
      </c>
    </row>
    <row r="9">
      <c r="A9" s="2" t="inlineStr"/>
      <c r="B9" s="3" t="inlineStr"/>
    </row>
    <row r="10">
      <c r="A10" s="4" t="inlineStr">
        <is>
          <t>② 如何修改員工名單</t>
        </is>
      </c>
    </row>
    <row r="11">
      <c r="A11" s="2" t="inlineStr">
        <is>
          <t>步驟</t>
        </is>
      </c>
      <c r="B11" s="3" t="inlineStr">
        <is>
          <t>到『設定 Settings』頁 ①，直接改 A 欄的員工名稱。</t>
        </is>
      </c>
    </row>
    <row r="12">
      <c r="A12" s="2" t="inlineStr"/>
      <c r="B12" s="3" t="inlineStr">
        <is>
          <t>全檔 (輸入頁、主表、Summary) 會自動跟著新名稱更新，即時生效。</t>
        </is>
      </c>
    </row>
    <row r="13">
      <c r="A13" s="2" t="inlineStr"/>
      <c r="B13" s="3" t="inlineStr"/>
    </row>
    <row r="14">
      <c r="A14" s="4" t="inlineStr">
        <is>
          <t>③ 如何改營業時間 / 時間間隔</t>
        </is>
      </c>
    </row>
    <row r="15">
      <c r="A15" s="2" t="inlineStr">
        <is>
          <t>步驟</t>
        </is>
      </c>
      <c r="B15" s="3" t="inlineStr">
        <is>
          <t>到『設定 Settings』頁 ②，改開始/結束時間或間隔 (15 或 30 分鐘)。</t>
        </is>
      </c>
    </row>
    <row r="16">
      <c r="A16" s="2" t="inlineStr">
        <is>
          <t>注意</t>
        </is>
      </c>
      <c r="B16" s="3" t="inlineStr">
        <is>
          <t>因為這會改變表格的格線數量，改完後需要重新執行 python3 scripts/build_roster.py 才會生效。</t>
        </is>
      </c>
    </row>
    <row r="17">
      <c r="A17" s="2" t="inlineStr"/>
      <c r="B17" s="3" t="inlineStr">
        <is>
          <t>人手規則 (③④) 及員工名稱則是即時生效，不用重跑。</t>
        </is>
      </c>
    </row>
    <row r="18">
      <c r="A18" s="2" t="inlineStr"/>
      <c r="B18" s="3" t="inlineStr"/>
    </row>
    <row r="19">
      <c r="A19" s="4" t="inlineStr">
        <is>
          <t>④ 如何設定人手要求</t>
        </is>
      </c>
    </row>
    <row r="20">
      <c r="A20" s="2" t="inlineStr">
        <is>
          <t>步驟</t>
        </is>
      </c>
      <c r="B20" s="3" t="inlineStr">
        <is>
          <t>『設定 Settings』③ 設預設最低人手；④ 加特別規則 (例：午市 12:00-14:00 需 2 人)。</t>
        </is>
      </c>
    </row>
    <row r="21">
      <c r="A21" s="2" t="inlineStr">
        <is>
          <t>適用對象</t>
        </is>
      </c>
      <c r="B21" s="3" t="inlineStr">
        <is>
          <t>可選『全部 / 平日 / 週末 / 某一天』。多條規則重疊時取最高要求。</t>
        </is>
      </c>
    </row>
    <row r="22">
      <c r="A22" s="2" t="inlineStr"/>
      <c r="B22" s="3" t="inlineStr"/>
    </row>
    <row r="23">
      <c r="A23" s="4" t="inlineStr">
        <is>
          <t>⑤ 長短週與目標時數</t>
        </is>
      </c>
    </row>
    <row r="24">
      <c r="A24" s="2" t="inlineStr">
        <is>
          <t>員工類型</t>
        </is>
      </c>
      <c r="B24" s="3" t="inlineStr">
        <is>
          <t>『設定 Settings』① 每位員工可設『全職 / 兼職』。全職可留空『每週目標時數』。</t>
        </is>
      </c>
    </row>
    <row r="25">
      <c r="A25" s="2" t="inlineStr">
        <is>
          <t>長短週</t>
        </is>
      </c>
      <c r="B25" s="3" t="inlineStr">
        <is>
          <t>『設定 Settings』⑤ 切換『本週類型』長週(48)或短週(40)，兩週平均 44 小時。</t>
        </is>
      </c>
    </row>
    <row r="26">
      <c r="A26" s="2" t="inlineStr">
        <is>
          <t>全職目標</t>
        </is>
      </c>
      <c r="B26" s="3" t="inlineStr">
        <is>
          <t>全職員工本週目標 = 長/短週時數 (除非在『每週目標時數』自填覆寫)。</t>
        </is>
      </c>
    </row>
    <row r="27">
      <c r="A27" s="2" t="inlineStr">
        <is>
          <t>兼職目標</t>
        </is>
      </c>
      <c r="B27" s="3" t="inlineStr">
        <is>
          <t>兼職員工在『每週目標時數』填最低時數即可。</t>
        </is>
      </c>
    </row>
    <row r="28">
      <c r="A28" s="2" t="inlineStr">
        <is>
          <t>達標檢視</t>
        </is>
      </c>
      <c r="B28" s="3" t="inlineStr">
        <is>
          <t>Summary ① 的『目標時數 / 差異 / 達標』欄會顯示是否達標 (橙=不足、綠=達標)。</t>
        </is>
      </c>
    </row>
    <row r="29">
      <c r="A29" s="2" t="inlineStr"/>
      <c r="B29" s="3" t="inlineStr"/>
    </row>
    <row r="30">
      <c r="A30" s="4" t="inlineStr">
        <is>
          <t>⑥ 如何看錯誤與顏色提示</t>
        </is>
      </c>
    </row>
    <row r="31">
      <c r="A31" s="2" t="inlineStr">
        <is>
          <t>輸入頁</t>
        </is>
      </c>
      <c r="B31" s="3" t="inlineStr">
        <is>
          <t>『檢查/錯誤提示』欄會用紅底標示：下班早於上班、飯鐘超時、超出營業時間等。</t>
        </is>
      </c>
    </row>
    <row r="32">
      <c r="A32" s="2" t="inlineStr">
        <is>
          <t>主排更表</t>
        </is>
      </c>
      <c r="B32" s="3" t="inlineStr">
        <is>
          <t>紅=無人覆蓋；橙=人手不足；淺綠=正常；灰=飯鐘。每格數字是當值人數。</t>
        </is>
      </c>
    </row>
    <row r="33">
      <c r="A33" s="2" t="inlineStr"/>
      <c r="B33" s="3" t="inlineStr"/>
    </row>
    <row r="34">
      <c r="A34" s="4" t="inlineStr">
        <is>
          <t>⑦ 如何看每週工時 Summary</t>
        </is>
      </c>
    </row>
    <row r="35">
      <c r="A35" s="2" t="inlineStr">
        <is>
          <t>Summary 頁</t>
        </is>
      </c>
      <c r="B35" s="3" t="inlineStr">
        <is>
          <t>① 每日/每週時數 + 長短週目標達成；② 每日覆蓋概況；③ 問題時段清單。</t>
        </is>
      </c>
    </row>
    <row r="36">
      <c r="A36" s="2" t="inlineStr"/>
      <c r="B36" s="3" t="inlineStr"/>
    </row>
    <row r="37">
      <c r="A37" s="2" t="inlineStr">
        <is>
          <t>日後可加入的規則</t>
        </is>
      </c>
      <c r="B37" s="3" t="inlineStr">
        <is>
          <t>固定放假日、兼職每週最低時數細則、飯鐘規則、分段班次、輪替長短週自動排程等 (可再請我擴充)。</t>
        </is>
      </c>
    </row>
  </sheetData>
  <mergeCells count="8">
    <mergeCell ref="A30:B30"/>
    <mergeCell ref="A19:B19"/>
    <mergeCell ref="A10:B10"/>
    <mergeCell ref="A5:B5"/>
    <mergeCell ref="A14:B14"/>
    <mergeCell ref="A1:B1"/>
    <mergeCell ref="A23:B2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5" t="inlineStr">
        <is>
          <t>設定 Settings — 你可以在這裡修改參數</t>
        </is>
      </c>
    </row>
    <row r="3">
      <c r="A3" s="4" t="inlineStr">
        <is>
          <t>① 員工名單 (可改名 / 即時生效)</t>
        </is>
      </c>
    </row>
    <row r="4">
      <c r="A4" s="6" t="inlineStr">
        <is>
          <t>員工</t>
        </is>
      </c>
      <c r="B4" s="6" t="inlineStr">
        <is>
          <t>代表色</t>
        </is>
      </c>
      <c r="C4" s="6" t="inlineStr">
        <is>
          <t>類型</t>
        </is>
      </c>
      <c r="D4" s="6" t="inlineStr">
        <is>
          <t>每週目標時數</t>
        </is>
      </c>
    </row>
    <row r="5">
      <c r="A5" t="inlineStr">
        <is>
          <t>菁</t>
        </is>
      </c>
      <c r="B5" s="7" t="inlineStr"/>
      <c r="C5" s="8" t="inlineStr">
        <is>
          <t>全職</t>
        </is>
      </c>
      <c r="D5" s="8" t="n"/>
    </row>
    <row r="6">
      <c r="A6" t="inlineStr">
        <is>
          <t>Kerry</t>
        </is>
      </c>
      <c r="B6" s="9" t="inlineStr"/>
      <c r="C6" s="8" t="inlineStr">
        <is>
          <t>全職</t>
        </is>
      </c>
      <c r="D6" s="8" t="n"/>
    </row>
    <row r="7">
      <c r="A7" t="inlineStr">
        <is>
          <t>Ice</t>
        </is>
      </c>
      <c r="B7" s="10" t="inlineStr"/>
      <c r="C7" s="8" t="inlineStr">
        <is>
          <t>全職</t>
        </is>
      </c>
      <c r="D7" s="8" t="n"/>
    </row>
    <row r="8">
      <c r="A8" t="inlineStr">
        <is>
          <t>Brielle</t>
        </is>
      </c>
      <c r="B8" s="11" t="inlineStr"/>
      <c r="C8" s="8" t="inlineStr">
        <is>
          <t>全職</t>
        </is>
      </c>
      <c r="D8" s="8" t="n"/>
    </row>
    <row r="9">
      <c r="A9" t="inlineStr">
        <is>
          <t>琳琳</t>
        </is>
      </c>
      <c r="B9" s="12" t="inlineStr"/>
      <c r="C9" s="8" t="inlineStr">
        <is>
          <t>全職</t>
        </is>
      </c>
      <c r="D9" s="8" t="n"/>
    </row>
    <row r="11">
      <c r="A11" s="4" t="inlineStr">
        <is>
          <t>② 營業 / 排班時間 (改後需重跑 Python 程式)</t>
        </is>
      </c>
    </row>
    <row r="12">
      <c r="A12" t="inlineStr">
        <is>
          <t>每日開始時間</t>
        </is>
      </c>
      <c r="B12" s="13" t="n">
        <v>0.40625</v>
      </c>
    </row>
    <row r="13">
      <c r="A13" t="inlineStr">
        <is>
          <t>每日結束時間</t>
        </is>
      </c>
      <c r="B13" s="13" t="n">
        <v>0.9270833333333334</v>
      </c>
    </row>
    <row r="14">
      <c r="A14" t="inlineStr">
        <is>
          <t>時間間隔 (分鐘)</t>
        </is>
      </c>
      <c r="B14" t="n">
        <v>30</v>
      </c>
    </row>
    <row r="16">
      <c r="A16" s="4" t="inlineStr">
        <is>
          <t>③ 人手設定 (即時生效)</t>
        </is>
      </c>
    </row>
    <row r="17">
      <c r="A17" t="inlineStr">
        <is>
          <t>預設每時段最低人手</t>
        </is>
      </c>
      <c r="B17" t="n">
        <v>1</v>
      </c>
    </row>
    <row r="19">
      <c r="A19" s="4" t="inlineStr">
        <is>
          <t>④ 特別時段人手規則 (午市 / 晚市 / 週末等)</t>
        </is>
      </c>
    </row>
    <row r="20">
      <c r="A20" s="6" t="inlineStr">
        <is>
          <t>適用對象</t>
        </is>
      </c>
      <c r="B20" s="6" t="inlineStr">
        <is>
          <t>由</t>
        </is>
      </c>
      <c r="C20" s="6" t="inlineStr">
        <is>
          <t>至</t>
        </is>
      </c>
      <c r="D20" s="6" t="inlineStr">
        <is>
          <t>最低人手</t>
        </is>
      </c>
    </row>
    <row r="21">
      <c r="A21" s="8" t="inlineStr">
        <is>
          <t>全部</t>
        </is>
      </c>
      <c r="B21" s="14" t="n">
        <v>0.5</v>
      </c>
      <c r="C21" s="14" t="n">
        <v>0.5833333333333334</v>
      </c>
      <c r="D21" s="8" t="n">
        <v>2</v>
      </c>
    </row>
    <row r="22">
      <c r="A22" s="8" t="inlineStr">
        <is>
          <t>全部</t>
        </is>
      </c>
      <c r="B22" s="14" t="n">
        <v>0.75</v>
      </c>
      <c r="C22" s="14" t="n">
        <v>0.875</v>
      </c>
      <c r="D22" s="8" t="n">
        <v>2</v>
      </c>
    </row>
    <row r="23">
      <c r="A23" s="8" t="inlineStr">
        <is>
          <t>週末</t>
        </is>
      </c>
      <c r="B23" s="14" t="n">
        <v>0.40625</v>
      </c>
      <c r="C23" s="14" t="n">
        <v>0.9270833333333334</v>
      </c>
      <c r="D23" s="8" t="n">
        <v>2</v>
      </c>
    </row>
    <row r="24">
      <c r="A24" s="8" t="n"/>
      <c r="B24" s="14" t="n"/>
      <c r="C24" s="14" t="n"/>
      <c r="D24" s="8" t="n"/>
    </row>
    <row r="25">
      <c r="A25" s="8" t="n"/>
      <c r="B25" s="14" t="n"/>
      <c r="C25" s="14" t="n"/>
      <c r="D25" s="8" t="n"/>
    </row>
    <row r="26">
      <c r="A26" s="8" t="n"/>
      <c r="B26" s="14" t="n"/>
      <c r="C26" s="14" t="n"/>
      <c r="D26" s="8" t="n"/>
    </row>
    <row r="28">
      <c r="A28" s="4" t="inlineStr">
        <is>
          <t>⑤ 長短週設定 (全職：短週 40、長週 48，平均 44)</t>
        </is>
      </c>
    </row>
    <row r="29">
      <c r="A29" t="inlineStr">
        <is>
          <t>本週類型</t>
        </is>
      </c>
      <c r="B29" t="inlineStr">
        <is>
          <t>長週</t>
        </is>
      </c>
    </row>
    <row r="30">
      <c r="A30" t="inlineStr">
        <is>
          <t>長週目標時數</t>
        </is>
      </c>
      <c r="B30" t="n">
        <v>48</v>
      </c>
    </row>
    <row r="31">
      <c r="A31" t="inlineStr">
        <is>
          <t>短週目標時數</t>
        </is>
      </c>
      <c r="B31" t="n">
        <v>40</v>
      </c>
    </row>
    <row r="32">
      <c r="A32" t="inlineStr">
        <is>
          <t>兩週平均 (參考)</t>
        </is>
      </c>
      <c r="B32" s="15">
        <f>(B30+B31)/2</f>
        <v/>
      </c>
    </row>
  </sheetData>
  <mergeCells count="1">
    <mergeCell ref="A1:E1"/>
  </mergeCells>
  <dataValidations count="6">
    <dataValidation sqref="A21:A26" showDropDown="0" showInputMessage="0" showErrorMessage="0" allowBlank="1" type="list">
      <formula1>Lists!$I$2:$I$11</formula1>
    </dataValidation>
    <dataValidation sqref="B14" showDropDown="0" showInputMessage="0" showErrorMessage="0" allowBlank="0" type="list">
      <formula1>"15,30"</formula1>
    </dataValidation>
    <dataValidation sqref="B12 B13" showDropDown="0" showInputMessage="0" showErrorMessage="0" allowBlank="1" type="list">
      <formula1>Lists!$A$2:$A$27</formula1>
    </dataValidation>
    <dataValidation sqref="B21:C26" showDropDown="0" showInputMessage="0" showErrorMessage="0" allowBlank="1" type="list">
      <formula1>Lists!$A$2:$A$27</formula1>
    </dataValidation>
    <dataValidation sqref="C5:C9" showDropDown="0" showInputMessage="0" showErrorMessage="0" allowBlank="0" type="list">
      <formula1>Lists!$K$2:$K$3</formula1>
    </dataValidation>
    <dataValidation sqref="B29" showDropDown="0" showInputMessage="0" showErrorMessage="0" allowBlank="0" type="list">
      <formula1>Lists!$M$2:$M$3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</cols>
  <sheetData>
    <row r="1">
      <c r="A1" s="5" t="inlineStr">
        <is>
          <t>員工更表輸入 — 只需在這裡輸入每天的上班/下班/飯鐘時間</t>
        </is>
      </c>
    </row>
    <row r="2">
      <c r="A2" s="16" t="inlineStr">
        <is>
          <t>提示：時間請用下拉選單選擇；放假的日子留空即可。飯鐘可留空。</t>
        </is>
      </c>
    </row>
    <row r="4">
      <c r="A4" s="17" t="inlineStr">
        <is>
          <t>員工</t>
        </is>
      </c>
      <c r="B4" s="17" t="inlineStr">
        <is>
          <t>星期</t>
        </is>
      </c>
      <c r="C4" s="17" t="inlineStr">
        <is>
          <t>上班</t>
        </is>
      </c>
      <c r="D4" s="17" t="inlineStr">
        <is>
          <t>下班</t>
        </is>
      </c>
      <c r="E4" s="17" t="inlineStr">
        <is>
          <t>飯鐘開始</t>
        </is>
      </c>
      <c r="F4" s="17" t="inlineStr">
        <is>
          <t>飯鐘結束</t>
        </is>
      </c>
      <c r="G4" s="17" t="inlineStr">
        <is>
          <t>每日時數</t>
        </is>
      </c>
      <c r="H4" s="17" t="inlineStr">
        <is>
          <t>檢查 / 錯誤提示</t>
        </is>
      </c>
    </row>
    <row r="5">
      <c r="A5" s="18">
        <f>'設定 Settings'!$A$5</f>
        <v/>
      </c>
      <c r="B5" s="18" t="inlineStr">
        <is>
          <t>星期一</t>
        </is>
      </c>
      <c r="C5" s="19" t="n">
        <v>0.40625</v>
      </c>
      <c r="D5" s="19" t="n">
        <v>0.78125</v>
      </c>
      <c r="E5" s="19" t="n">
        <v>0.5416666666666666</v>
      </c>
      <c r="F5" s="19" t="n">
        <v>0.5729166666666666</v>
      </c>
      <c r="G5" s="20">
        <f>IF(OR($C$5="",$D$5=""),"",($D$5-$C$5-IF(OR($E$5="",$F$5=""),0,$F$5-$E$5))*24)</f>
        <v/>
      </c>
      <c r="H5" s="18">
        <f>IF(AND($C$5&lt;&gt;"",$D$5&lt;&gt;"",$D$5&lt;=$C$5),"下班需晚於上班",IF(AND($E$5&lt;&gt;"",$F$5&lt;&gt;"",$F$5&lt;=$E$5),"飯鐘結束需晚於開始",IF(AND($E$5&lt;&gt;"",$F$5&lt;&gt;"",OR($E$5&lt;$C$5,$F$5&gt;$D$5)),"飯鐘超出更時",IF(AND($C$5&lt;&gt;"",OR($C$5&lt;'設定 Settings'!$B$12,$D$5&gt;'設定 Settings'!$B$13)),"超出營業時間",""))))</f>
        <v/>
      </c>
    </row>
    <row r="6">
      <c r="A6" s="18">
        <f>'設定 Settings'!$A$5</f>
        <v/>
      </c>
      <c r="B6" s="18" t="inlineStr">
        <is>
          <t>星期二</t>
        </is>
      </c>
      <c r="C6" s="19" t="n">
        <v>0.40625</v>
      </c>
      <c r="D6" s="19" t="n">
        <v>0.78125</v>
      </c>
      <c r="E6" s="19" t="n">
        <v>0.5416666666666666</v>
      </c>
      <c r="F6" s="19" t="n">
        <v>0.5729166666666666</v>
      </c>
      <c r="G6" s="20">
        <f>IF(OR($C$6="",$D$6=""),"",($D$6-$C$6-IF(OR($E$6="",$F$6=""),0,$F$6-$E$6))*24)</f>
        <v/>
      </c>
      <c r="H6" s="18">
        <f>IF(AND($C$6&lt;&gt;"",$D$6&lt;&gt;"",$D$6&lt;=$C$6),"下班需晚於上班",IF(AND($E$6&lt;&gt;"",$F$6&lt;&gt;"",$F$6&lt;=$E$6),"飯鐘結束需晚於開始",IF(AND($E$6&lt;&gt;"",$F$6&lt;&gt;"",OR($E$6&lt;$C$6,$F$6&gt;$D$6)),"飯鐘超出更時",IF(AND($C$6&lt;&gt;"",OR($C$6&lt;'設定 Settings'!$B$12,$D$6&gt;'設定 Settings'!$B$13)),"超出營業時間",""))))</f>
        <v/>
      </c>
    </row>
    <row r="7">
      <c r="A7" s="18">
        <f>'設定 Settings'!$A$5</f>
        <v/>
      </c>
      <c r="B7" s="18" t="inlineStr">
        <is>
          <t>星期三</t>
        </is>
      </c>
      <c r="C7" s="19" t="n">
        <v>0.40625</v>
      </c>
      <c r="D7" s="19" t="n">
        <v>0.78125</v>
      </c>
      <c r="E7" s="19" t="n">
        <v>0.5416666666666666</v>
      </c>
      <c r="F7" s="19" t="n">
        <v>0.5729166666666666</v>
      </c>
      <c r="G7" s="20">
        <f>IF(OR($C$7="",$D$7=""),"",($D$7-$C$7-IF(OR($E$7="",$F$7=""),0,$F$7-$E$7))*24)</f>
        <v/>
      </c>
      <c r="H7" s="18">
        <f>IF(AND($C$7&lt;&gt;"",$D$7&lt;&gt;"",$D$7&lt;=$C$7),"下班需晚於上班",IF(AND($E$7&lt;&gt;"",$F$7&lt;&gt;"",$F$7&lt;=$E$7),"飯鐘結束需晚於開始",IF(AND($E$7&lt;&gt;"",$F$7&lt;&gt;"",OR($E$7&lt;$C$7,$F$7&gt;$D$7)),"飯鐘超出更時",IF(AND($C$7&lt;&gt;"",OR($C$7&lt;'設定 Settings'!$B$12,$D$7&gt;'設定 Settings'!$B$13)),"超出營業時間",""))))</f>
        <v/>
      </c>
    </row>
    <row r="8">
      <c r="A8" s="18">
        <f>'設定 Settings'!$A$5</f>
        <v/>
      </c>
      <c r="B8" s="18" t="inlineStr">
        <is>
          <t>星期四</t>
        </is>
      </c>
      <c r="C8" s="19" t="n">
        <v>0.40625</v>
      </c>
      <c r="D8" s="19" t="n">
        <v>0.78125</v>
      </c>
      <c r="E8" s="19" t="n">
        <v>0.5416666666666666</v>
      </c>
      <c r="F8" s="19" t="n">
        <v>0.5729166666666666</v>
      </c>
      <c r="G8" s="20">
        <f>IF(OR($C$8="",$D$8=""),"",($D$8-$C$8-IF(OR($E$8="",$F$8=""),0,$F$8-$E$8))*24)</f>
        <v/>
      </c>
      <c r="H8" s="18">
        <f>IF(AND($C$8&lt;&gt;"",$D$8&lt;&gt;"",$D$8&lt;=$C$8),"下班需晚於上班",IF(AND($E$8&lt;&gt;"",$F$8&lt;&gt;"",$F$8&lt;=$E$8),"飯鐘結束需晚於開始",IF(AND($E$8&lt;&gt;"",$F$8&lt;&gt;"",OR($E$8&lt;$C$8,$F$8&gt;$D$8)),"飯鐘超出更時",IF(AND($C$8&lt;&gt;"",OR($C$8&lt;'設定 Settings'!$B$12,$D$8&gt;'設定 Settings'!$B$13)),"超出營業時間",""))))</f>
        <v/>
      </c>
    </row>
    <row r="9">
      <c r="A9" s="18">
        <f>'設定 Settings'!$A$5</f>
        <v/>
      </c>
      <c r="B9" s="18" t="inlineStr">
        <is>
          <t>星期五</t>
        </is>
      </c>
      <c r="C9" s="19" t="n">
        <v>0.40625</v>
      </c>
      <c r="D9" s="19" t="n">
        <v>0.78125</v>
      </c>
      <c r="E9" s="19" t="n">
        <v>0.5416666666666666</v>
      </c>
      <c r="F9" s="19" t="n">
        <v>0.5729166666666666</v>
      </c>
      <c r="G9" s="20">
        <f>IF(OR($C$9="",$D$9=""),"",($D$9-$C$9-IF(OR($E$9="",$F$9=""),0,$F$9-$E$9))*24)</f>
        <v/>
      </c>
      <c r="H9" s="18">
        <f>IF(AND($C$9&lt;&gt;"",$D$9&lt;&gt;"",$D$9&lt;=$C$9),"下班需晚於上班",IF(AND($E$9&lt;&gt;"",$F$9&lt;&gt;"",$F$9&lt;=$E$9),"飯鐘結束需晚於開始",IF(AND($E$9&lt;&gt;"",$F$9&lt;&gt;"",OR($E$9&lt;$C$9,$F$9&gt;$D$9)),"飯鐘超出更時",IF(AND($C$9&lt;&gt;"",OR($C$9&lt;'設定 Settings'!$B$12,$D$9&gt;'設定 Settings'!$B$13)),"超出營業時間",""))))</f>
        <v/>
      </c>
    </row>
    <row r="10">
      <c r="A10" s="18">
        <f>'設定 Settings'!$A$5</f>
        <v/>
      </c>
      <c r="B10" s="18" t="inlineStr">
        <is>
          <t>星期六</t>
        </is>
      </c>
      <c r="C10" s="19" t="n">
        <v>0.40625</v>
      </c>
      <c r="D10" s="19" t="n">
        <v>0.78125</v>
      </c>
      <c r="E10" s="19" t="n">
        <v>0.5416666666666666</v>
      </c>
      <c r="F10" s="19" t="n">
        <v>0.5729166666666666</v>
      </c>
      <c r="G10" s="20">
        <f>IF(OR($C$10="",$D$10=""),"",($D$10-$C$10-IF(OR($E$10="",$F$10=""),0,$F$10-$E$10))*24)</f>
        <v/>
      </c>
      <c r="H10" s="18">
        <f>IF(AND($C$10&lt;&gt;"",$D$10&lt;&gt;"",$D$10&lt;=$C$10),"下班需晚於上班",IF(AND($E$10&lt;&gt;"",$F$10&lt;&gt;"",$F$10&lt;=$E$10),"飯鐘結束需晚於開始",IF(AND($E$10&lt;&gt;"",$F$10&lt;&gt;"",OR($E$10&lt;$C$10,$F$10&gt;$D$10)),"飯鐘超出更時",IF(AND($C$10&lt;&gt;"",OR($C$10&lt;'設定 Settings'!$B$12,$D$10&gt;'設定 Settings'!$B$13)),"超出營業時間",""))))</f>
        <v/>
      </c>
    </row>
    <row r="11">
      <c r="A11" s="18">
        <f>'設定 Settings'!$A$5</f>
        <v/>
      </c>
      <c r="B11" s="18" t="inlineStr">
        <is>
          <t>星期日</t>
        </is>
      </c>
      <c r="C11" s="19" t="n"/>
      <c r="D11" s="19" t="n"/>
      <c r="E11" s="19" t="n"/>
      <c r="F11" s="19" t="n"/>
      <c r="G11" s="20">
        <f>IF(OR($C$11="",$D$11=""),"",($D$11-$C$11-IF(OR($E$11="",$F$11=""),0,$F$11-$E$11))*24)</f>
        <v/>
      </c>
      <c r="H11" s="18">
        <f>IF(AND($C$11&lt;&gt;"",$D$11&lt;&gt;"",$D$11&lt;=$C$11),"下班需晚於上班",IF(AND($E$11&lt;&gt;"",$F$11&lt;&gt;"",$F$11&lt;=$E$11),"飯鐘結束需晚於開始",IF(AND($E$11&lt;&gt;"",$F$11&lt;&gt;"",OR($E$11&lt;$C$11,$F$11&gt;$D$11)),"飯鐘超出更時",IF(AND($C$11&lt;&gt;"",OR($C$11&lt;'設定 Settings'!$B$12,$D$11&gt;'設定 Settings'!$B$13)),"超出營業時間",""))))</f>
        <v/>
      </c>
    </row>
    <row r="12">
      <c r="A12" s="18">
        <f>'設定 Settings'!$A$6</f>
        <v/>
      </c>
      <c r="B12" s="18" t="inlineStr">
        <is>
          <t>星期一</t>
        </is>
      </c>
      <c r="C12" s="19" t="n">
        <v>0.5520833333333334</v>
      </c>
      <c r="D12" s="19" t="n">
        <v>0.9270833333333334</v>
      </c>
      <c r="E12" s="19" t="n">
        <v>0.7291666666666666</v>
      </c>
      <c r="F12" s="19" t="n">
        <v>0.7604166666666666</v>
      </c>
      <c r="G12" s="20">
        <f>IF(OR($C$12="",$D$12=""),"",($D$12-$C$12-IF(OR($E$12="",$F$12=""),0,$F$12-$E$12))*24)</f>
        <v/>
      </c>
      <c r="H12" s="18">
        <f>IF(AND($C$12&lt;&gt;"",$D$12&lt;&gt;"",$D$12&lt;=$C$12),"下班需晚於上班",IF(AND($E$12&lt;&gt;"",$F$12&lt;&gt;"",$F$12&lt;=$E$12),"飯鐘結束需晚於開始",IF(AND($E$12&lt;&gt;"",$F$12&lt;&gt;"",OR($E$12&lt;$C$12,$F$12&gt;$D$12)),"飯鐘超出更時",IF(AND($C$12&lt;&gt;"",OR($C$12&lt;'設定 Settings'!$B$12,$D$12&gt;'設定 Settings'!$B$13)),"超出營業時間",""))))</f>
        <v/>
      </c>
    </row>
    <row r="13">
      <c r="A13" s="18">
        <f>'設定 Settings'!$A$6</f>
        <v/>
      </c>
      <c r="B13" s="18" t="inlineStr">
        <is>
          <t>星期二</t>
        </is>
      </c>
      <c r="C13" s="19" t="n">
        <v>0.5520833333333334</v>
      </c>
      <c r="D13" s="19" t="n">
        <v>0.9270833333333334</v>
      </c>
      <c r="E13" s="19" t="n">
        <v>0.7291666666666666</v>
      </c>
      <c r="F13" s="19" t="n">
        <v>0.7604166666666666</v>
      </c>
      <c r="G13" s="20">
        <f>IF(OR($C$13="",$D$13=""),"",($D$13-$C$13-IF(OR($E$13="",$F$13=""),0,$F$13-$E$13))*24)</f>
        <v/>
      </c>
      <c r="H13" s="18">
        <f>IF(AND($C$13&lt;&gt;"",$D$13&lt;&gt;"",$D$13&lt;=$C$13),"下班需晚於上班",IF(AND($E$13&lt;&gt;"",$F$13&lt;&gt;"",$F$13&lt;=$E$13),"飯鐘結束需晚於開始",IF(AND($E$13&lt;&gt;"",$F$13&lt;&gt;"",OR($E$13&lt;$C$13,$F$13&gt;$D$13)),"飯鐘超出更時",IF(AND($C$13&lt;&gt;"",OR($C$13&lt;'設定 Settings'!$B$12,$D$13&gt;'設定 Settings'!$B$13)),"超出營業時間",""))))</f>
        <v/>
      </c>
    </row>
    <row r="14">
      <c r="A14" s="18">
        <f>'設定 Settings'!$A$6</f>
        <v/>
      </c>
      <c r="B14" s="18" t="inlineStr">
        <is>
          <t>星期三</t>
        </is>
      </c>
      <c r="C14" s="19" t="n">
        <v>0.5520833333333334</v>
      </c>
      <c r="D14" s="19" t="n">
        <v>0.9270833333333334</v>
      </c>
      <c r="E14" s="19" t="n">
        <v>0.7291666666666666</v>
      </c>
      <c r="F14" s="19" t="n">
        <v>0.7604166666666666</v>
      </c>
      <c r="G14" s="20">
        <f>IF(OR($C$14="",$D$14=""),"",($D$14-$C$14-IF(OR($E$14="",$F$14=""),0,$F$14-$E$14))*24)</f>
        <v/>
      </c>
      <c r="H14" s="18">
        <f>IF(AND($C$14&lt;&gt;"",$D$14&lt;&gt;"",$D$14&lt;=$C$14),"下班需晚於上班",IF(AND($E$14&lt;&gt;"",$F$14&lt;&gt;"",$F$14&lt;=$E$14),"飯鐘結束需晚於開始",IF(AND($E$14&lt;&gt;"",$F$14&lt;&gt;"",OR($E$14&lt;$C$14,$F$14&gt;$D$14)),"飯鐘超出更時",IF(AND($C$14&lt;&gt;"",OR($C$14&lt;'設定 Settings'!$B$12,$D$14&gt;'設定 Settings'!$B$13)),"超出營業時間",""))))</f>
        <v/>
      </c>
    </row>
    <row r="15">
      <c r="A15" s="18">
        <f>'設定 Settings'!$A$6</f>
        <v/>
      </c>
      <c r="B15" s="18" t="inlineStr">
        <is>
          <t>星期四</t>
        </is>
      </c>
      <c r="C15" s="19" t="n">
        <v>0.5520833333333334</v>
      </c>
      <c r="D15" s="19" t="n">
        <v>0.9270833333333334</v>
      </c>
      <c r="E15" s="19" t="n">
        <v>0.7291666666666666</v>
      </c>
      <c r="F15" s="19" t="n">
        <v>0.7604166666666666</v>
      </c>
      <c r="G15" s="20">
        <f>IF(OR($C$15="",$D$15=""),"",($D$15-$C$15-IF(OR($E$15="",$F$15=""),0,$F$15-$E$15))*24)</f>
        <v/>
      </c>
      <c r="H15" s="18">
        <f>IF(AND($C$15&lt;&gt;"",$D$15&lt;&gt;"",$D$15&lt;=$C$15),"下班需晚於上班",IF(AND($E$15&lt;&gt;"",$F$15&lt;&gt;"",$F$15&lt;=$E$15),"飯鐘結束需晚於開始",IF(AND($E$15&lt;&gt;"",$F$15&lt;&gt;"",OR($E$15&lt;$C$15,$F$15&gt;$D$15)),"飯鐘超出更時",IF(AND($C$15&lt;&gt;"",OR($C$15&lt;'設定 Settings'!$B$12,$D$15&gt;'設定 Settings'!$B$13)),"超出營業時間",""))))</f>
        <v/>
      </c>
    </row>
    <row r="16">
      <c r="A16" s="18">
        <f>'設定 Settings'!$A$6</f>
        <v/>
      </c>
      <c r="B16" s="18" t="inlineStr">
        <is>
          <t>星期五</t>
        </is>
      </c>
      <c r="C16" s="19" t="n">
        <v>0.5520833333333334</v>
      </c>
      <c r="D16" s="19" t="n">
        <v>0.9270833333333334</v>
      </c>
      <c r="E16" s="19" t="n">
        <v>0.7291666666666666</v>
      </c>
      <c r="F16" s="19" t="n">
        <v>0.7604166666666666</v>
      </c>
      <c r="G16" s="20">
        <f>IF(OR($C$16="",$D$16=""),"",($D$16-$C$16-IF(OR($E$16="",$F$16=""),0,$F$16-$E$16))*24)</f>
        <v/>
      </c>
      <c r="H16" s="18">
        <f>IF(AND($C$16&lt;&gt;"",$D$16&lt;&gt;"",$D$16&lt;=$C$16),"下班需晚於上班",IF(AND($E$16&lt;&gt;"",$F$16&lt;&gt;"",$F$16&lt;=$E$16),"飯鐘結束需晚於開始",IF(AND($E$16&lt;&gt;"",$F$16&lt;&gt;"",OR($E$16&lt;$C$16,$F$16&gt;$D$16)),"飯鐘超出更時",IF(AND($C$16&lt;&gt;"",OR($C$16&lt;'設定 Settings'!$B$12,$D$16&gt;'設定 Settings'!$B$13)),"超出營業時間",""))))</f>
        <v/>
      </c>
    </row>
    <row r="17">
      <c r="A17" s="18">
        <f>'設定 Settings'!$A$6</f>
        <v/>
      </c>
      <c r="B17" s="18" t="inlineStr">
        <is>
          <t>星期六</t>
        </is>
      </c>
      <c r="C17" s="19" t="n">
        <v>0.5520833333333334</v>
      </c>
      <c r="D17" s="19" t="n">
        <v>0.9270833333333334</v>
      </c>
      <c r="E17" s="19" t="n">
        <v>0.7291666666666666</v>
      </c>
      <c r="F17" s="19" t="n">
        <v>0.7604166666666666</v>
      </c>
      <c r="G17" s="20">
        <f>IF(OR($C$17="",$D$17=""),"",($D$17-$C$17-IF(OR($E$17="",$F$17=""),0,$F$17-$E$17))*24)</f>
        <v/>
      </c>
      <c r="H17" s="18">
        <f>IF(AND($C$17&lt;&gt;"",$D$17&lt;&gt;"",$D$17&lt;=$C$17),"下班需晚於上班",IF(AND($E$17&lt;&gt;"",$F$17&lt;&gt;"",$F$17&lt;=$E$17),"飯鐘結束需晚於開始",IF(AND($E$17&lt;&gt;"",$F$17&lt;&gt;"",OR($E$17&lt;$C$17,$F$17&gt;$D$17)),"飯鐘超出更時",IF(AND($C$17&lt;&gt;"",OR($C$17&lt;'設定 Settings'!$B$12,$D$17&gt;'設定 Settings'!$B$13)),"超出營業時間",""))))</f>
        <v/>
      </c>
    </row>
    <row r="18">
      <c r="A18" s="18">
        <f>'設定 Settings'!$A$6</f>
        <v/>
      </c>
      <c r="B18" s="18" t="inlineStr">
        <is>
          <t>星期日</t>
        </is>
      </c>
      <c r="C18" s="19" t="n"/>
      <c r="D18" s="19" t="n"/>
      <c r="E18" s="19" t="n"/>
      <c r="F18" s="19" t="n"/>
      <c r="G18" s="20">
        <f>IF(OR($C$18="",$D$18=""),"",($D$18-$C$18-IF(OR($E$18="",$F$18=""),0,$F$18-$E$18))*24)</f>
        <v/>
      </c>
      <c r="H18" s="18">
        <f>IF(AND($C$18&lt;&gt;"",$D$18&lt;&gt;"",$D$18&lt;=$C$18),"下班需晚於上班",IF(AND($E$18&lt;&gt;"",$F$18&lt;&gt;"",$F$18&lt;=$E$18),"飯鐘結束需晚於開始",IF(AND($E$18&lt;&gt;"",$F$18&lt;&gt;"",OR($E$18&lt;$C$18,$F$18&gt;$D$18)),"飯鐘超出更時",IF(AND($C$18&lt;&gt;"",OR($C$18&lt;'設定 Settings'!$B$12,$D$18&gt;'設定 Settings'!$B$13)),"超出營業時間",""))))</f>
        <v/>
      </c>
    </row>
    <row r="19">
      <c r="A19" s="18">
        <f>'設定 Settings'!$A$7</f>
        <v/>
      </c>
      <c r="B19" s="18" t="inlineStr">
        <is>
          <t>星期一</t>
        </is>
      </c>
      <c r="C19" s="19" t="n"/>
      <c r="D19" s="19" t="n"/>
      <c r="E19" s="19" t="n"/>
      <c r="F19" s="19" t="n"/>
      <c r="G19" s="20">
        <f>IF(OR($C$19="",$D$19=""),"",($D$19-$C$19-IF(OR($E$19="",$F$19=""),0,$F$19-$E$19))*24)</f>
        <v/>
      </c>
      <c r="H19" s="18">
        <f>IF(AND($C$19&lt;&gt;"",$D$19&lt;&gt;"",$D$19&lt;=$C$19),"下班需晚於上班",IF(AND($E$19&lt;&gt;"",$F$19&lt;&gt;"",$F$19&lt;=$E$19),"飯鐘結束需晚於開始",IF(AND($E$19&lt;&gt;"",$F$19&lt;&gt;"",OR($E$19&lt;$C$19,$F$19&gt;$D$19)),"飯鐘超出更時",IF(AND($C$19&lt;&gt;"",OR($C$19&lt;'設定 Settings'!$B$12,$D$19&gt;'設定 Settings'!$B$13)),"超出營業時間",""))))</f>
        <v/>
      </c>
    </row>
    <row r="20">
      <c r="A20" s="18">
        <f>'設定 Settings'!$A$7</f>
        <v/>
      </c>
      <c r="B20" s="18" t="inlineStr">
        <is>
          <t>星期二</t>
        </is>
      </c>
      <c r="C20" s="19" t="n"/>
      <c r="D20" s="19" t="n"/>
      <c r="E20" s="19" t="n"/>
      <c r="F20" s="19" t="n"/>
      <c r="G20" s="20">
        <f>IF(OR($C$20="",$D$20=""),"",($D$20-$C$20-IF(OR($E$20="",$F$20=""),0,$F$20-$E$20))*24)</f>
        <v/>
      </c>
      <c r="H20" s="18">
        <f>IF(AND($C$20&lt;&gt;"",$D$20&lt;&gt;"",$D$20&lt;=$C$20),"下班需晚於上班",IF(AND($E$20&lt;&gt;"",$F$20&lt;&gt;"",$F$20&lt;=$E$20),"飯鐘結束需晚於開始",IF(AND($E$20&lt;&gt;"",$F$20&lt;&gt;"",OR($E$20&lt;$C$20,$F$20&gt;$D$20)),"飯鐘超出更時",IF(AND($C$20&lt;&gt;"",OR($C$20&lt;'設定 Settings'!$B$12,$D$20&gt;'設定 Settings'!$B$13)),"超出營業時間",""))))</f>
        <v/>
      </c>
    </row>
    <row r="21">
      <c r="A21" s="18">
        <f>'設定 Settings'!$A$7</f>
        <v/>
      </c>
      <c r="B21" s="18" t="inlineStr">
        <is>
          <t>星期三</t>
        </is>
      </c>
      <c r="C21" s="19" t="n">
        <v>0.7083333333333334</v>
      </c>
      <c r="D21" s="19" t="n">
        <v>0.9270833333333334</v>
      </c>
      <c r="E21" s="19" t="n"/>
      <c r="F21" s="19" t="n"/>
      <c r="G21" s="20">
        <f>IF(OR($C$21="",$D$21=""),"",($D$21-$C$21-IF(OR($E$21="",$F$21=""),0,$F$21-$E$21))*24)</f>
        <v/>
      </c>
      <c r="H21" s="18">
        <f>IF(AND($C$21&lt;&gt;"",$D$21&lt;&gt;"",$D$21&lt;=$C$21),"下班需晚於上班",IF(AND($E$21&lt;&gt;"",$F$21&lt;&gt;"",$F$21&lt;=$E$21),"飯鐘結束需晚於開始",IF(AND($E$21&lt;&gt;"",$F$21&lt;&gt;"",OR($E$21&lt;$C$21,$F$21&gt;$D$21)),"飯鐘超出更時",IF(AND($C$21&lt;&gt;"",OR($C$21&lt;'設定 Settings'!$B$12,$D$21&gt;'設定 Settings'!$B$13)),"超出營業時間",""))))</f>
        <v/>
      </c>
    </row>
    <row r="22">
      <c r="A22" s="18">
        <f>'設定 Settings'!$A$7</f>
        <v/>
      </c>
      <c r="B22" s="18" t="inlineStr">
        <is>
          <t>星期四</t>
        </is>
      </c>
      <c r="C22" s="19" t="n">
        <v>0.7083333333333334</v>
      </c>
      <c r="D22" s="19" t="n">
        <v>0.9270833333333334</v>
      </c>
      <c r="E22" s="19" t="n"/>
      <c r="F22" s="19" t="n"/>
      <c r="G22" s="20">
        <f>IF(OR($C$22="",$D$22=""),"",($D$22-$C$22-IF(OR($E$22="",$F$22=""),0,$F$22-$E$22))*24)</f>
        <v/>
      </c>
      <c r="H22" s="18">
        <f>IF(AND($C$22&lt;&gt;"",$D$22&lt;&gt;"",$D$22&lt;=$C$22),"下班需晚於上班",IF(AND($E$22&lt;&gt;"",$F$22&lt;&gt;"",$F$22&lt;=$E$22),"飯鐘結束需晚於開始",IF(AND($E$22&lt;&gt;"",$F$22&lt;&gt;"",OR($E$22&lt;$C$22,$F$22&gt;$D$22)),"飯鐘超出更時",IF(AND($C$22&lt;&gt;"",OR($C$22&lt;'設定 Settings'!$B$12,$D$22&gt;'設定 Settings'!$B$13)),"超出營業時間",""))))</f>
        <v/>
      </c>
    </row>
    <row r="23">
      <c r="A23" s="18">
        <f>'設定 Settings'!$A$7</f>
        <v/>
      </c>
      <c r="B23" s="18" t="inlineStr">
        <is>
          <t>星期五</t>
        </is>
      </c>
      <c r="C23" s="19" t="n">
        <v>0.7083333333333334</v>
      </c>
      <c r="D23" s="19" t="n">
        <v>0.9270833333333334</v>
      </c>
      <c r="E23" s="19" t="n"/>
      <c r="F23" s="19" t="n"/>
      <c r="G23" s="20">
        <f>IF(OR($C$23="",$D$23=""),"",($D$23-$C$23-IF(OR($E$23="",$F$23=""),0,$F$23-$E$23))*24)</f>
        <v/>
      </c>
      <c r="H23" s="18">
        <f>IF(AND($C$23&lt;&gt;"",$D$23&lt;&gt;"",$D$23&lt;=$C$23),"下班需晚於上班",IF(AND($E$23&lt;&gt;"",$F$23&lt;&gt;"",$F$23&lt;=$E$23),"飯鐘結束需晚於開始",IF(AND($E$23&lt;&gt;"",$F$23&lt;&gt;"",OR($E$23&lt;$C$23,$F$23&gt;$D$23)),"飯鐘超出更時",IF(AND($C$23&lt;&gt;"",OR($C$23&lt;'設定 Settings'!$B$12,$D$23&gt;'設定 Settings'!$B$13)),"超出營業時間",""))))</f>
        <v/>
      </c>
    </row>
    <row r="24">
      <c r="A24" s="18">
        <f>'設定 Settings'!$A$7</f>
        <v/>
      </c>
      <c r="B24" s="18" t="inlineStr">
        <is>
          <t>星期六</t>
        </is>
      </c>
      <c r="C24" s="19" t="n">
        <v>0.40625</v>
      </c>
      <c r="D24" s="19" t="n">
        <v>0.75</v>
      </c>
      <c r="E24" s="19" t="n">
        <v>0.5416666666666666</v>
      </c>
      <c r="F24" s="19" t="n">
        <v>0.5729166666666666</v>
      </c>
      <c r="G24" s="20">
        <f>IF(OR($C$24="",$D$24=""),"",($D$24-$C$24-IF(OR($E$24="",$F$24=""),0,$F$24-$E$24))*24)</f>
        <v/>
      </c>
      <c r="H24" s="18">
        <f>IF(AND($C$24&lt;&gt;"",$D$24&lt;&gt;"",$D$24&lt;=$C$24),"下班需晚於上班",IF(AND($E$24&lt;&gt;"",$F$24&lt;&gt;"",$F$24&lt;=$E$24),"飯鐘結束需晚於開始",IF(AND($E$24&lt;&gt;"",$F$24&lt;&gt;"",OR($E$24&lt;$C$24,$F$24&gt;$D$24)),"飯鐘超出更時",IF(AND($C$24&lt;&gt;"",OR($C$24&lt;'設定 Settings'!$B$12,$D$24&gt;'設定 Settings'!$B$13)),"超出營業時間",""))))</f>
        <v/>
      </c>
    </row>
    <row r="25">
      <c r="A25" s="18">
        <f>'設定 Settings'!$A$7</f>
        <v/>
      </c>
      <c r="B25" s="18" t="inlineStr">
        <is>
          <t>星期日</t>
        </is>
      </c>
      <c r="C25" s="19" t="n">
        <v>0.40625</v>
      </c>
      <c r="D25" s="19" t="n">
        <v>0.75</v>
      </c>
      <c r="E25" s="19" t="n">
        <v>0.5416666666666666</v>
      </c>
      <c r="F25" s="19" t="n">
        <v>0.5729166666666666</v>
      </c>
      <c r="G25" s="20">
        <f>IF(OR($C$25="",$D$25=""),"",($D$25-$C$25-IF(OR($E$25="",$F$25=""),0,$F$25-$E$25))*24)</f>
        <v/>
      </c>
      <c r="H25" s="18">
        <f>IF(AND($C$25&lt;&gt;"",$D$25&lt;&gt;"",$D$25&lt;=$C$25),"下班需晚於上班",IF(AND($E$25&lt;&gt;"",$F$25&lt;&gt;"",$F$25&lt;=$E$25),"飯鐘結束需晚於開始",IF(AND($E$25&lt;&gt;"",$F$25&lt;&gt;"",OR($E$25&lt;$C$25,$F$25&gt;$D$25)),"飯鐘超出更時",IF(AND($C$25&lt;&gt;"",OR($C$25&lt;'設定 Settings'!$B$12,$D$25&gt;'設定 Settings'!$B$13)),"超出營業時間",""))))</f>
        <v/>
      </c>
    </row>
    <row r="26">
      <c r="A26" s="18">
        <f>'設定 Settings'!$A$8</f>
        <v/>
      </c>
      <c r="B26" s="18" t="inlineStr">
        <is>
          <t>星期一</t>
        </is>
      </c>
      <c r="C26" s="19" t="n">
        <v>0.6666666666666666</v>
      </c>
      <c r="D26" s="19" t="n">
        <v>0.9270833333333334</v>
      </c>
      <c r="E26" s="19" t="n"/>
      <c r="F26" s="19" t="n"/>
      <c r="G26" s="20">
        <f>IF(OR($C$26="",$D$26=""),"",($D$26-$C$26-IF(OR($E$26="",$F$26=""),0,$F$26-$E$26))*24)</f>
        <v/>
      </c>
      <c r="H26" s="18">
        <f>IF(AND($C$26&lt;&gt;"",$D$26&lt;&gt;"",$D$26&lt;=$C$26),"下班需晚於上班",IF(AND($E$26&lt;&gt;"",$F$26&lt;&gt;"",$F$26&lt;=$E$26),"飯鐘結束需晚於開始",IF(AND($E$26&lt;&gt;"",$F$26&lt;&gt;"",OR($E$26&lt;$C$26,$F$26&gt;$D$26)),"飯鐘超出更時",IF(AND($C$26&lt;&gt;"",OR($C$26&lt;'設定 Settings'!$B$12,$D$26&gt;'設定 Settings'!$B$13)),"超出營業時間",""))))</f>
        <v/>
      </c>
    </row>
    <row r="27">
      <c r="A27" s="18">
        <f>'設定 Settings'!$A$8</f>
        <v/>
      </c>
      <c r="B27" s="18" t="inlineStr">
        <is>
          <t>星期二</t>
        </is>
      </c>
      <c r="C27" s="19" t="n">
        <v>0.6666666666666666</v>
      </c>
      <c r="D27" s="19" t="n">
        <v>0.9270833333333334</v>
      </c>
      <c r="E27" s="19" t="n"/>
      <c r="F27" s="19" t="n"/>
      <c r="G27" s="20">
        <f>IF(OR($C$27="",$D$27=""),"",($D$27-$C$27-IF(OR($E$27="",$F$27=""),0,$F$27-$E$27))*24)</f>
        <v/>
      </c>
      <c r="H27" s="18">
        <f>IF(AND($C$27&lt;&gt;"",$D$27&lt;&gt;"",$D$27&lt;=$C$27),"下班需晚於上班",IF(AND($E$27&lt;&gt;"",$F$27&lt;&gt;"",$F$27&lt;=$E$27),"飯鐘結束需晚於開始",IF(AND($E$27&lt;&gt;"",$F$27&lt;&gt;"",OR($E$27&lt;$C$27,$F$27&gt;$D$27)),"飯鐘超出更時",IF(AND($C$27&lt;&gt;"",OR($C$27&lt;'設定 Settings'!$B$12,$D$27&gt;'設定 Settings'!$B$13)),"超出營業時間",""))))</f>
        <v/>
      </c>
    </row>
    <row r="28">
      <c r="A28" s="18">
        <f>'設定 Settings'!$A$8</f>
        <v/>
      </c>
      <c r="B28" s="18" t="inlineStr">
        <is>
          <t>星期三</t>
        </is>
      </c>
      <c r="C28" s="19" t="n"/>
      <c r="D28" s="19" t="n"/>
      <c r="E28" s="19" t="n"/>
      <c r="F28" s="19" t="n"/>
      <c r="G28" s="20">
        <f>IF(OR($C$28="",$D$28=""),"",($D$28-$C$28-IF(OR($E$28="",$F$28=""),0,$F$28-$E$28))*24)</f>
        <v/>
      </c>
      <c r="H28" s="18">
        <f>IF(AND($C$28&lt;&gt;"",$D$28&lt;&gt;"",$D$28&lt;=$C$28),"下班需晚於上班",IF(AND($E$28&lt;&gt;"",$F$28&lt;&gt;"",$F$28&lt;=$E$28),"飯鐘結束需晚於開始",IF(AND($E$28&lt;&gt;"",$F$28&lt;&gt;"",OR($E$28&lt;$C$28,$F$28&gt;$D$28)),"飯鐘超出更時",IF(AND($C$28&lt;&gt;"",OR($C$28&lt;'設定 Settings'!$B$12,$D$28&gt;'設定 Settings'!$B$13)),"超出營業時間",""))))</f>
        <v/>
      </c>
    </row>
    <row r="29">
      <c r="A29" s="18">
        <f>'設定 Settings'!$A$8</f>
        <v/>
      </c>
      <c r="B29" s="18" t="inlineStr">
        <is>
          <t>星期四</t>
        </is>
      </c>
      <c r="C29" s="19" t="n"/>
      <c r="D29" s="19" t="n"/>
      <c r="E29" s="19" t="n"/>
      <c r="F29" s="19" t="n"/>
      <c r="G29" s="20">
        <f>IF(OR($C$29="",$D$29=""),"",($D$29-$C$29-IF(OR($E$29="",$F$29=""),0,$F$29-$E$29))*24)</f>
        <v/>
      </c>
      <c r="H29" s="18">
        <f>IF(AND($C$29&lt;&gt;"",$D$29&lt;&gt;"",$D$29&lt;=$C$29),"下班需晚於上班",IF(AND($E$29&lt;&gt;"",$F$29&lt;&gt;"",$F$29&lt;=$E$29),"飯鐘結束需晚於開始",IF(AND($E$29&lt;&gt;"",$F$29&lt;&gt;"",OR($E$29&lt;$C$29,$F$29&gt;$D$29)),"飯鐘超出更時",IF(AND($C$29&lt;&gt;"",OR($C$29&lt;'設定 Settings'!$B$12,$D$29&gt;'設定 Settings'!$B$13)),"超出營業時間",""))))</f>
        <v/>
      </c>
    </row>
    <row r="30">
      <c r="A30" s="18">
        <f>'設定 Settings'!$A$8</f>
        <v/>
      </c>
      <c r="B30" s="18" t="inlineStr">
        <is>
          <t>星期五</t>
        </is>
      </c>
      <c r="C30" s="19" t="n"/>
      <c r="D30" s="19" t="n"/>
      <c r="E30" s="19" t="n"/>
      <c r="F30" s="19" t="n"/>
      <c r="G30" s="20">
        <f>IF(OR($C$30="",$D$30=""),"",($D$30-$C$30-IF(OR($E$30="",$F$30=""),0,$F$30-$E$30))*24)</f>
        <v/>
      </c>
      <c r="H30" s="18">
        <f>IF(AND($C$30&lt;&gt;"",$D$30&lt;&gt;"",$D$30&lt;=$C$30),"下班需晚於上班",IF(AND($E$30&lt;&gt;"",$F$30&lt;&gt;"",$F$30&lt;=$E$30),"飯鐘結束需晚於開始",IF(AND($E$30&lt;&gt;"",$F$30&lt;&gt;"",OR($E$30&lt;$C$30,$F$30&gt;$D$30)),"飯鐘超出更時",IF(AND($C$30&lt;&gt;"",OR($C$30&lt;'設定 Settings'!$B$12,$D$30&gt;'設定 Settings'!$B$13)),"超出營業時間",""))))</f>
        <v/>
      </c>
    </row>
    <row r="31">
      <c r="A31" s="18">
        <f>'設定 Settings'!$A$8</f>
        <v/>
      </c>
      <c r="B31" s="18" t="inlineStr">
        <is>
          <t>星期六</t>
        </is>
      </c>
      <c r="C31" s="19" t="n"/>
      <c r="D31" s="19" t="n"/>
      <c r="E31" s="19" t="n"/>
      <c r="F31" s="19" t="n"/>
      <c r="G31" s="20">
        <f>IF(OR($C$31="",$D$31=""),"",($D$31-$C$31-IF(OR($E$31="",$F$31=""),0,$F$31-$E$31))*24)</f>
        <v/>
      </c>
      <c r="H31" s="18">
        <f>IF(AND($C$31&lt;&gt;"",$D$31&lt;&gt;"",$D$31&lt;=$C$31),"下班需晚於上班",IF(AND($E$31&lt;&gt;"",$F$31&lt;&gt;"",$F$31&lt;=$E$31),"飯鐘結束需晚於開始",IF(AND($E$31&lt;&gt;"",$F$31&lt;&gt;"",OR($E$31&lt;$C$31,$F$31&gt;$D$31)),"飯鐘超出更時",IF(AND($C$31&lt;&gt;"",OR($C$31&lt;'設定 Settings'!$B$12,$D$31&gt;'設定 Settings'!$B$13)),"超出營業時間",""))))</f>
        <v/>
      </c>
    </row>
    <row r="32">
      <c r="A32" s="18">
        <f>'設定 Settings'!$A$8</f>
        <v/>
      </c>
      <c r="B32" s="18" t="inlineStr">
        <is>
          <t>星期日</t>
        </is>
      </c>
      <c r="C32" s="19" t="n">
        <v>0.40625</v>
      </c>
      <c r="D32" s="19" t="n">
        <v>0.9270833333333334</v>
      </c>
      <c r="E32" s="19" t="n">
        <v>0.5833333333333334</v>
      </c>
      <c r="F32" s="19" t="n">
        <v>0.625</v>
      </c>
      <c r="G32" s="20">
        <f>IF(OR($C$32="",$D$32=""),"",($D$32-$C$32-IF(OR($E$32="",$F$32=""),0,$F$32-$E$32))*24)</f>
        <v/>
      </c>
      <c r="H32" s="18">
        <f>IF(AND($C$32&lt;&gt;"",$D$32&lt;&gt;"",$D$32&lt;=$C$32),"下班需晚於上班",IF(AND($E$32&lt;&gt;"",$F$32&lt;&gt;"",$F$32&lt;=$E$32),"飯鐘結束需晚於開始",IF(AND($E$32&lt;&gt;"",$F$32&lt;&gt;"",OR($E$32&lt;$C$32,$F$32&gt;$D$32)),"飯鐘超出更時",IF(AND($C$32&lt;&gt;"",OR($C$32&lt;'設定 Settings'!$B$12,$D$32&gt;'設定 Settings'!$B$13)),"超出營業時間",""))))</f>
        <v/>
      </c>
    </row>
    <row r="33">
      <c r="A33" s="18">
        <f>'設定 Settings'!$A$9</f>
        <v/>
      </c>
      <c r="B33" s="18" t="inlineStr">
        <is>
          <t>星期一</t>
        </is>
      </c>
      <c r="C33" s="19" t="n"/>
      <c r="D33" s="19" t="n"/>
      <c r="E33" s="19" t="n"/>
      <c r="F33" s="19" t="n"/>
      <c r="G33" s="20">
        <f>IF(OR($C$33="",$D$33=""),"",($D$33-$C$33-IF(OR($E$33="",$F$33=""),0,$F$33-$E$33))*24)</f>
        <v/>
      </c>
      <c r="H33" s="18">
        <f>IF(AND($C$33&lt;&gt;"",$D$33&lt;&gt;"",$D$33&lt;=$C$33),"下班需晚於上班",IF(AND($E$33&lt;&gt;"",$F$33&lt;&gt;"",$F$33&lt;=$E$33),"飯鐘結束需晚於開始",IF(AND($E$33&lt;&gt;"",$F$33&lt;&gt;"",OR($E$33&lt;$C$33,$F$33&gt;$D$33)),"飯鐘超出更時",IF(AND($C$33&lt;&gt;"",OR($C$33&lt;'設定 Settings'!$B$12,$D$33&gt;'設定 Settings'!$B$13)),"超出營業時間",""))))</f>
        <v/>
      </c>
    </row>
    <row r="34">
      <c r="A34" s="18">
        <f>'設定 Settings'!$A$9</f>
        <v/>
      </c>
      <c r="B34" s="18" t="inlineStr">
        <is>
          <t>星期二</t>
        </is>
      </c>
      <c r="C34" s="19" t="n"/>
      <c r="D34" s="19" t="n"/>
      <c r="E34" s="19" t="n"/>
      <c r="F34" s="19" t="n"/>
      <c r="G34" s="20">
        <f>IF(OR($C$34="",$D$34=""),"",($D$34-$C$34-IF(OR($E$34="",$F$34=""),0,$F$34-$E$34))*24)</f>
        <v/>
      </c>
      <c r="H34" s="18">
        <f>IF(AND($C$34&lt;&gt;"",$D$34&lt;&gt;"",$D$34&lt;=$C$34),"下班需晚於上班",IF(AND($E$34&lt;&gt;"",$F$34&lt;&gt;"",$F$34&lt;=$E$34),"飯鐘結束需晚於開始",IF(AND($E$34&lt;&gt;"",$F$34&lt;&gt;"",OR($E$34&lt;$C$34,$F$34&gt;$D$34)),"飯鐘超出更時",IF(AND($C$34&lt;&gt;"",OR($C$34&lt;'設定 Settings'!$B$12,$D$34&gt;'設定 Settings'!$B$13)),"超出營業時間",""))))</f>
        <v/>
      </c>
    </row>
    <row r="35">
      <c r="A35" s="18">
        <f>'設定 Settings'!$A$9</f>
        <v/>
      </c>
      <c r="B35" s="18" t="inlineStr">
        <is>
          <t>星期三</t>
        </is>
      </c>
      <c r="C35" s="19" t="n">
        <v>0.5</v>
      </c>
      <c r="D35" s="19" t="n">
        <v>0.875</v>
      </c>
      <c r="E35" s="19" t="n">
        <v>0.6666666666666666</v>
      </c>
      <c r="F35" s="19" t="n">
        <v>0.6979166666666666</v>
      </c>
      <c r="G35" s="20">
        <f>IF(OR($C$35="",$D$35=""),"",($D$35-$C$35-IF(OR($E$35="",$F$35=""),0,$F$35-$E$35))*24)</f>
        <v/>
      </c>
      <c r="H35" s="18">
        <f>IF(AND($C$35&lt;&gt;"",$D$35&lt;&gt;"",$D$35&lt;=$C$35),"下班需晚於上班",IF(AND($E$35&lt;&gt;"",$F$35&lt;&gt;"",$F$35&lt;=$E$35),"飯鐘結束需晚於開始",IF(AND($E$35&lt;&gt;"",$F$35&lt;&gt;"",OR($E$35&lt;$C$35,$F$35&gt;$D$35)),"飯鐘超出更時",IF(AND($C$35&lt;&gt;"",OR($C$35&lt;'設定 Settings'!$B$12,$D$35&gt;'設定 Settings'!$B$13)),"超出營業時間",""))))</f>
        <v/>
      </c>
    </row>
    <row r="36">
      <c r="A36" s="18">
        <f>'設定 Settings'!$A$9</f>
        <v/>
      </c>
      <c r="B36" s="18" t="inlineStr">
        <is>
          <t>星期四</t>
        </is>
      </c>
      <c r="C36" s="19" t="n">
        <v>0.5</v>
      </c>
      <c r="D36" s="19" t="n">
        <v>0.875</v>
      </c>
      <c r="E36" s="19" t="n">
        <v>0.6666666666666666</v>
      </c>
      <c r="F36" s="19" t="n">
        <v>0.6979166666666666</v>
      </c>
      <c r="G36" s="20">
        <f>IF(OR($C$36="",$D$36=""),"",($D$36-$C$36-IF(OR($E$36="",$F$36=""),0,$F$36-$E$36))*24)</f>
        <v/>
      </c>
      <c r="H36" s="18">
        <f>IF(AND($C$36&lt;&gt;"",$D$36&lt;&gt;"",$D$36&lt;=$C$36),"下班需晚於上班",IF(AND($E$36&lt;&gt;"",$F$36&lt;&gt;"",$F$36&lt;=$E$36),"飯鐘結束需晚於開始",IF(AND($E$36&lt;&gt;"",$F$36&lt;&gt;"",OR($E$36&lt;$C$36,$F$36&gt;$D$36)),"飯鐘超出更時",IF(AND($C$36&lt;&gt;"",OR($C$36&lt;'設定 Settings'!$B$12,$D$36&gt;'設定 Settings'!$B$13)),"超出營業時間",""))))</f>
        <v/>
      </c>
    </row>
    <row r="37">
      <c r="A37" s="18">
        <f>'設定 Settings'!$A$9</f>
        <v/>
      </c>
      <c r="B37" s="18" t="inlineStr">
        <is>
          <t>星期五</t>
        </is>
      </c>
      <c r="C37" s="19" t="n">
        <v>0.5</v>
      </c>
      <c r="D37" s="19" t="n">
        <v>0.875</v>
      </c>
      <c r="E37" s="19" t="n">
        <v>0.6666666666666666</v>
      </c>
      <c r="F37" s="19" t="n">
        <v>0.6979166666666666</v>
      </c>
      <c r="G37" s="20">
        <f>IF(OR($C$37="",$D$37=""),"",($D$37-$C$37-IF(OR($E$37="",$F$37=""),0,$F$37-$E$37))*24)</f>
        <v/>
      </c>
      <c r="H37" s="18">
        <f>IF(AND($C$37&lt;&gt;"",$D$37&lt;&gt;"",$D$37&lt;=$C$37),"下班需晚於上班",IF(AND($E$37&lt;&gt;"",$F$37&lt;&gt;"",$F$37&lt;=$E$37),"飯鐘結束需晚於開始",IF(AND($E$37&lt;&gt;"",$F$37&lt;&gt;"",OR($E$37&lt;$C$37,$F$37&gt;$D$37)),"飯鐘超出更時",IF(AND($C$37&lt;&gt;"",OR($C$37&lt;'設定 Settings'!$B$12,$D$37&gt;'設定 Settings'!$B$13)),"超出營業時間",""))))</f>
        <v/>
      </c>
    </row>
    <row r="38">
      <c r="A38" s="18">
        <f>'設定 Settings'!$A$9</f>
        <v/>
      </c>
      <c r="B38" s="18" t="inlineStr">
        <is>
          <t>星期六</t>
        </is>
      </c>
      <c r="C38" s="19" t="n">
        <v>0.5</v>
      </c>
      <c r="D38" s="19" t="n">
        <v>0.875</v>
      </c>
      <c r="E38" s="19" t="n">
        <v>0.6666666666666666</v>
      </c>
      <c r="F38" s="19" t="n">
        <v>0.6979166666666666</v>
      </c>
      <c r="G38" s="20">
        <f>IF(OR($C$38="",$D$38=""),"",($D$38-$C$38-IF(OR($E$38="",$F$38=""),0,$F$38-$E$38))*24)</f>
        <v/>
      </c>
      <c r="H38" s="18">
        <f>IF(AND($C$38&lt;&gt;"",$D$38&lt;&gt;"",$D$38&lt;=$C$38),"下班需晚於上班",IF(AND($E$38&lt;&gt;"",$F$38&lt;&gt;"",$F$38&lt;=$E$38),"飯鐘結束需晚於開始",IF(AND($E$38&lt;&gt;"",$F$38&lt;&gt;"",OR($E$38&lt;$C$38,$F$38&gt;$D$38)),"飯鐘超出更時",IF(AND($C$38&lt;&gt;"",OR($C$38&lt;'設定 Settings'!$B$12,$D$38&gt;'設定 Settings'!$B$13)),"超出營業時間",""))))</f>
        <v/>
      </c>
    </row>
    <row r="39">
      <c r="A39" s="18">
        <f>'設定 Settings'!$A$9</f>
        <v/>
      </c>
      <c r="B39" s="18" t="inlineStr">
        <is>
          <t>星期日</t>
        </is>
      </c>
      <c r="C39" s="19" t="n">
        <v>0.5</v>
      </c>
      <c r="D39" s="19" t="n">
        <v>0.875</v>
      </c>
      <c r="E39" s="19" t="n">
        <v>0.6666666666666666</v>
      </c>
      <c r="F39" s="19" t="n">
        <v>0.6979166666666666</v>
      </c>
      <c r="G39" s="20">
        <f>IF(OR($C$39="",$D$39=""),"",($D$39-$C$39-IF(OR($E$39="",$F$39=""),0,$F$39-$E$39))*24)</f>
        <v/>
      </c>
      <c r="H39" s="18">
        <f>IF(AND($C$39&lt;&gt;"",$D$39&lt;&gt;"",$D$39&lt;=$C$39),"下班需晚於上班",IF(AND($E$39&lt;&gt;"",$F$39&lt;&gt;"",$F$39&lt;=$E$39),"飯鐘結束需晚於開始",IF(AND($E$39&lt;&gt;"",$F$39&lt;&gt;"",OR($E$39&lt;$C$39,$F$39&gt;$D$39)),"飯鐘超出更時",IF(AND($C$39&lt;&gt;"",OR($C$39&lt;'設定 Settings'!$B$12,$D$39&gt;'設定 Settings'!$B$13)),"超出營業時間",""))))</f>
        <v/>
      </c>
    </row>
  </sheetData>
  <mergeCells count="2">
    <mergeCell ref="A2:H2"/>
    <mergeCell ref="A1:H1"/>
  </mergeCells>
  <conditionalFormatting sqref="H5:H39">
    <cfRule type="expression" priority="1" dxfId="0">
      <formula>LEN(H5)&gt;0</formula>
    </cfRule>
  </conditionalFormatting>
  <dataValidations count="1">
    <dataValidation sqref="C5:F39" showDropDown="0" showInputMessage="0" showErrorMessage="0" allowBlank="1" type="list">
      <formula1>Lists!$A$2:$A$27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9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</cols>
  <sheetData>
    <row r="1">
      <c r="A1" s="5" t="inlineStr">
        <is>
          <t>主排更表 (自動產生 — 請在「員工更表輸入」修改班次)</t>
        </is>
      </c>
    </row>
    <row r="2">
      <c r="A2" s="16" t="inlineStr">
        <is>
          <t>顏色：紅=無人覆蓋  橙=人手不足  淺綠=正常  灰=飯鐘。 每格數字 = 當值人數。週末表頭為不同底色。</t>
        </is>
      </c>
    </row>
    <row r="3">
      <c r="A3" s="4" t="inlineStr">
        <is>
          <t>① 人手覆蓋 (每格＝當值人數)</t>
        </is>
      </c>
    </row>
    <row r="4">
      <c r="A4" s="17" t="inlineStr">
        <is>
          <t>時段</t>
        </is>
      </c>
      <c r="B4" s="17" t="inlineStr">
        <is>
          <t>星期一</t>
        </is>
      </c>
      <c r="C4" s="17" t="inlineStr">
        <is>
          <t>星期二</t>
        </is>
      </c>
      <c r="D4" s="17" t="inlineStr">
        <is>
          <t>星期三</t>
        </is>
      </c>
      <c r="E4" s="17" t="inlineStr">
        <is>
          <t>星期四</t>
        </is>
      </c>
      <c r="F4" s="17" t="inlineStr">
        <is>
          <t>星期五</t>
        </is>
      </c>
      <c r="G4" s="21" t="inlineStr">
        <is>
          <t>星期六</t>
        </is>
      </c>
      <c r="H4" s="21" t="inlineStr">
        <is>
          <t>星期日</t>
        </is>
      </c>
    </row>
    <row r="5">
      <c r="A5" s="22" t="inlineStr">
        <is>
          <t>9:45am-10:15am</t>
        </is>
      </c>
      <c r="B5" s="23">
        <f>IF(B61="Work",1,0)+IF(B89="Work",1,0)+IF(B117="Work",1,0)+IF(B145="Work",1,0)+IF(B173="Work",1,0)</f>
        <v/>
      </c>
      <c r="C5" s="23">
        <f>IF(C61="Work",1,0)+IF(C89="Work",1,0)+IF(C117="Work",1,0)+IF(C145="Work",1,0)+IF(C173="Work",1,0)</f>
        <v/>
      </c>
      <c r="D5" s="23">
        <f>IF(D61="Work",1,0)+IF(D89="Work",1,0)+IF(D117="Work",1,0)+IF(D145="Work",1,0)+IF(D173="Work",1,0)</f>
        <v/>
      </c>
      <c r="E5" s="23">
        <f>IF(E61="Work",1,0)+IF(E89="Work",1,0)+IF(E117="Work",1,0)+IF(E145="Work",1,0)+IF(E173="Work",1,0)</f>
        <v/>
      </c>
      <c r="F5" s="23">
        <f>IF(F61="Work",1,0)+IF(F89="Work",1,0)+IF(F117="Work",1,0)+IF(F145="Work",1,0)+IF(F173="Work",1,0)</f>
        <v/>
      </c>
      <c r="G5" s="23">
        <f>IF(G61="Work",1,0)+IF(G89="Work",1,0)+IF(G117="Work",1,0)+IF(G145="Work",1,0)+IF(G173="Work",1,0)</f>
        <v/>
      </c>
      <c r="H5" s="23">
        <f>IF(H61="Work",1,0)+IF(H89="Work",1,0)+IF(H117="Work",1,0)+IF(H145="Work",1,0)+IF(H173="Work",1,0)</f>
        <v/>
      </c>
      <c r="Z5">
        <f>MAX('設定 Settings'!$B$17,IF(AND(OR('設定 Settings'!$A$21="全部",AND('設定 Settings'!$A$21="平日",NOT(OR(B$4="星期六",B$4="星期日"))),AND('設定 Settings'!$A$21="週末",OR(B$4="星期六",B$4="星期日")),'設定 Settings'!$A$21=B$4),Lists!$C$2&gt;='設定 Settings'!$B$21,Lists!$C$2&lt;'設定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Settings'!$A$22=B$4),Lists!$C$2&gt;='設定 Settings'!$B$22,Lists!$C$2&lt;'設定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Settings'!$A$23=B$4),Lists!$C$2&gt;='設定 Settings'!$B$23,Lists!$C$2&lt;'設定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Settings'!$A$24=B$4),Lists!$C$2&gt;='設定 Settings'!$B$24,Lists!$C$2&lt;'設定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Settings'!$A$25=B$4),Lists!$C$2&gt;='設定 Settings'!$B$25,Lists!$C$2&lt;'設定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Settings'!$A$26=B$4),Lists!$C$2&gt;='設定 Settings'!$B$26,Lists!$C$2&lt;'設定 Settings'!$C$26),'設定 Settings'!$D$26,0))</f>
        <v/>
      </c>
      <c r="AA5">
        <f>MAX('設定 Settings'!$B$17,IF(AND(OR('設定 Settings'!$A$21="全部",AND('設定 Settings'!$A$21="平日",NOT(OR(C$4="星期六",C$4="星期日"))),AND('設定 Settings'!$A$21="週末",OR(C$4="星期六",C$4="星期日")),'設定 Settings'!$A$21=C$4),Lists!$C$2&gt;='設定 Settings'!$B$21,Lists!$C$2&lt;'設定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Settings'!$A$22=C$4),Lists!$C$2&gt;='設定 Settings'!$B$22,Lists!$C$2&lt;'設定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Settings'!$A$23=C$4),Lists!$C$2&gt;='設定 Settings'!$B$23,Lists!$C$2&lt;'設定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Settings'!$A$24=C$4),Lists!$C$2&gt;='設定 Settings'!$B$24,Lists!$C$2&lt;'設定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Settings'!$A$25=C$4),Lists!$C$2&gt;='設定 Settings'!$B$25,Lists!$C$2&lt;'設定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Settings'!$A$26=C$4),Lists!$C$2&gt;='設定 Settings'!$B$26,Lists!$C$2&lt;'設定 Settings'!$C$26),'設定 Settings'!$D$26,0))</f>
        <v/>
      </c>
      <c r="AB5">
        <f>MAX('設定 Settings'!$B$17,IF(AND(OR('設定 Settings'!$A$21="全部",AND('設定 Settings'!$A$21="平日",NOT(OR(D$4="星期六",D$4="星期日"))),AND('設定 Settings'!$A$21="週末",OR(D$4="星期六",D$4="星期日")),'設定 Settings'!$A$21=D$4),Lists!$C$2&gt;='設定 Settings'!$B$21,Lists!$C$2&lt;'設定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Settings'!$A$22=D$4),Lists!$C$2&gt;='設定 Settings'!$B$22,Lists!$C$2&lt;'設定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Settings'!$A$23=D$4),Lists!$C$2&gt;='設定 Settings'!$B$23,Lists!$C$2&lt;'設定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Settings'!$A$24=D$4),Lists!$C$2&gt;='設定 Settings'!$B$24,Lists!$C$2&lt;'設定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Settings'!$A$25=D$4),Lists!$C$2&gt;='設定 Settings'!$B$25,Lists!$C$2&lt;'設定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Settings'!$A$26=D$4),Lists!$C$2&gt;='設定 Settings'!$B$26,Lists!$C$2&lt;'設定 Settings'!$C$26),'設定 Settings'!$D$26,0))</f>
        <v/>
      </c>
      <c r="AC5">
        <f>MAX('設定 Settings'!$B$17,IF(AND(OR('設定 Settings'!$A$21="全部",AND('設定 Settings'!$A$21="平日",NOT(OR(E$4="星期六",E$4="星期日"))),AND('設定 Settings'!$A$21="週末",OR(E$4="星期六",E$4="星期日")),'設定 Settings'!$A$21=E$4),Lists!$C$2&gt;='設定 Settings'!$B$21,Lists!$C$2&lt;'設定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Settings'!$A$22=E$4),Lists!$C$2&gt;='設定 Settings'!$B$22,Lists!$C$2&lt;'設定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Settings'!$A$23=E$4),Lists!$C$2&gt;='設定 Settings'!$B$23,Lists!$C$2&lt;'設定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Settings'!$A$24=E$4),Lists!$C$2&gt;='設定 Settings'!$B$24,Lists!$C$2&lt;'設定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Settings'!$A$25=E$4),Lists!$C$2&gt;='設定 Settings'!$B$25,Lists!$C$2&lt;'設定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Settings'!$A$26=E$4),Lists!$C$2&gt;='設定 Settings'!$B$26,Lists!$C$2&lt;'設定 Settings'!$C$26),'設定 Settings'!$D$26,0))</f>
        <v/>
      </c>
      <c r="AD5">
        <f>MAX('設定 Settings'!$B$17,IF(AND(OR('設定 Settings'!$A$21="全部",AND('設定 Settings'!$A$21="平日",NOT(OR(F$4="星期六",F$4="星期日"))),AND('設定 Settings'!$A$21="週末",OR(F$4="星期六",F$4="星期日")),'設定 Settings'!$A$21=F$4),Lists!$C$2&gt;='設定 Settings'!$B$21,Lists!$C$2&lt;'設定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Settings'!$A$22=F$4),Lists!$C$2&gt;='設定 Settings'!$B$22,Lists!$C$2&lt;'設定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Settings'!$A$23=F$4),Lists!$C$2&gt;='設定 Settings'!$B$23,Lists!$C$2&lt;'設定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Settings'!$A$24=F$4),Lists!$C$2&gt;='設定 Settings'!$B$24,Lists!$C$2&lt;'設定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Settings'!$A$25=F$4),Lists!$C$2&gt;='設定 Settings'!$B$25,Lists!$C$2&lt;'設定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Settings'!$A$26=F$4),Lists!$C$2&gt;='設定 Settings'!$B$26,Lists!$C$2&lt;'設定 Settings'!$C$26),'設定 Settings'!$D$26,0))</f>
        <v/>
      </c>
      <c r="AE5">
        <f>MAX('設定 Settings'!$B$17,IF(AND(OR('設定 Settings'!$A$21="全部",AND('設定 Settings'!$A$21="平日",NOT(OR(G$4="星期六",G$4="星期日"))),AND('設定 Settings'!$A$21="週末",OR(G$4="星期六",G$4="星期日")),'設定 Settings'!$A$21=G$4),Lists!$C$2&gt;='設定 Settings'!$B$21,Lists!$C$2&lt;'設定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Settings'!$A$22=G$4),Lists!$C$2&gt;='設定 Settings'!$B$22,Lists!$C$2&lt;'設定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Settings'!$A$23=G$4),Lists!$C$2&gt;='設定 Settings'!$B$23,Lists!$C$2&lt;'設定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Settings'!$A$24=G$4),Lists!$C$2&gt;='設定 Settings'!$B$24,Lists!$C$2&lt;'設定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Settings'!$A$25=G$4),Lists!$C$2&gt;='設定 Settings'!$B$25,Lists!$C$2&lt;'設定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Settings'!$A$26=G$4),Lists!$C$2&gt;='設定 Settings'!$B$26,Lists!$C$2&lt;'設定 Settings'!$C$26),'設定 Settings'!$D$26,0))</f>
        <v/>
      </c>
      <c r="AF5">
        <f>MAX('設定 Settings'!$B$17,IF(AND(OR('設定 Settings'!$A$21="全部",AND('設定 Settings'!$A$21="平日",NOT(OR(H$4="星期六",H$4="星期日"))),AND('設定 Settings'!$A$21="週末",OR(H$4="星期六",H$4="星期日")),'設定 Settings'!$A$21=H$4),Lists!$C$2&gt;='設定 Settings'!$B$21,Lists!$C$2&lt;'設定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Settings'!$A$22=H$4),Lists!$C$2&gt;='設定 Settings'!$B$22,Lists!$C$2&lt;'設定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Settings'!$A$23=H$4),Lists!$C$2&gt;='設定 Settings'!$B$23,Lists!$C$2&lt;'設定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Settings'!$A$24=H$4),Lists!$C$2&gt;='設定 Settings'!$B$24,Lists!$C$2&lt;'設定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Settings'!$A$25=H$4),Lists!$C$2&gt;='設定 Settings'!$B$25,Lists!$C$2&lt;'設定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Settings'!$A$26=H$4),Lists!$C$2&gt;='設定 Settings'!$B$26,Lists!$C$2&lt;'設定 Settings'!$C$26),'設定 Settings'!$D$26,0))</f>
        <v/>
      </c>
    </row>
    <row r="6">
      <c r="A6" s="22" t="inlineStr">
        <is>
          <t>10:15am-10:45am</t>
        </is>
      </c>
      <c r="B6" s="23">
        <f>IF(B62="Work",1,0)+IF(B90="Work",1,0)+IF(B118="Work",1,0)+IF(B146="Work",1,0)+IF(B174="Work",1,0)</f>
        <v/>
      </c>
      <c r="C6" s="23">
        <f>IF(C62="Work",1,0)+IF(C90="Work",1,0)+IF(C118="Work",1,0)+IF(C146="Work",1,0)+IF(C174="Work",1,0)</f>
        <v/>
      </c>
      <c r="D6" s="23">
        <f>IF(D62="Work",1,0)+IF(D90="Work",1,0)+IF(D118="Work",1,0)+IF(D146="Work",1,0)+IF(D174="Work",1,0)</f>
        <v/>
      </c>
      <c r="E6" s="23">
        <f>IF(E62="Work",1,0)+IF(E90="Work",1,0)+IF(E118="Work",1,0)+IF(E146="Work",1,0)+IF(E174="Work",1,0)</f>
        <v/>
      </c>
      <c r="F6" s="23">
        <f>IF(F62="Work",1,0)+IF(F90="Work",1,0)+IF(F118="Work",1,0)+IF(F146="Work",1,0)+IF(F174="Work",1,0)</f>
        <v/>
      </c>
      <c r="G6" s="23">
        <f>IF(G62="Work",1,0)+IF(G90="Work",1,0)+IF(G118="Work",1,0)+IF(G146="Work",1,0)+IF(G174="Work",1,0)</f>
        <v/>
      </c>
      <c r="H6" s="23">
        <f>IF(H62="Work",1,0)+IF(H90="Work",1,0)+IF(H118="Work",1,0)+IF(H146="Work",1,0)+IF(H174="Work",1,0)</f>
        <v/>
      </c>
      <c r="Z6">
        <f>MAX('設定 Settings'!$B$17,IF(AND(OR('設定 Settings'!$A$21="全部",AND('設定 Settings'!$A$21="平日",NOT(OR(B$4="星期六",B$4="星期日"))),AND('設定 Settings'!$A$21="週末",OR(B$4="星期六",B$4="星期日")),'設定 Settings'!$A$21=B$4),Lists!$C$3&gt;='設定 Settings'!$B$21,Lists!$C$3&lt;'設定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Settings'!$A$22=B$4),Lists!$C$3&gt;='設定 Settings'!$B$22,Lists!$C$3&lt;'設定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Settings'!$A$23=B$4),Lists!$C$3&gt;='設定 Settings'!$B$23,Lists!$C$3&lt;'設定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Settings'!$A$24=B$4),Lists!$C$3&gt;='設定 Settings'!$B$24,Lists!$C$3&lt;'設定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Settings'!$A$25=B$4),Lists!$C$3&gt;='設定 Settings'!$B$25,Lists!$C$3&lt;'設定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Settings'!$A$26=B$4),Lists!$C$3&gt;='設定 Settings'!$B$26,Lists!$C$3&lt;'設定 Settings'!$C$26),'設定 Settings'!$D$26,0))</f>
        <v/>
      </c>
      <c r="AA6">
        <f>MAX('設定 Settings'!$B$17,IF(AND(OR('設定 Settings'!$A$21="全部",AND('設定 Settings'!$A$21="平日",NOT(OR(C$4="星期六",C$4="星期日"))),AND('設定 Settings'!$A$21="週末",OR(C$4="星期六",C$4="星期日")),'設定 Settings'!$A$21=C$4),Lists!$C$3&gt;='設定 Settings'!$B$21,Lists!$C$3&lt;'設定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Settings'!$A$22=C$4),Lists!$C$3&gt;='設定 Settings'!$B$22,Lists!$C$3&lt;'設定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Settings'!$A$23=C$4),Lists!$C$3&gt;='設定 Settings'!$B$23,Lists!$C$3&lt;'設定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Settings'!$A$24=C$4),Lists!$C$3&gt;='設定 Settings'!$B$24,Lists!$C$3&lt;'設定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Settings'!$A$25=C$4),Lists!$C$3&gt;='設定 Settings'!$B$25,Lists!$C$3&lt;'設定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Settings'!$A$26=C$4),Lists!$C$3&gt;='設定 Settings'!$B$26,Lists!$C$3&lt;'設定 Settings'!$C$26),'設定 Settings'!$D$26,0))</f>
        <v/>
      </c>
      <c r="AB6">
        <f>MAX('設定 Settings'!$B$17,IF(AND(OR('設定 Settings'!$A$21="全部",AND('設定 Settings'!$A$21="平日",NOT(OR(D$4="星期六",D$4="星期日"))),AND('設定 Settings'!$A$21="週末",OR(D$4="星期六",D$4="星期日")),'設定 Settings'!$A$21=D$4),Lists!$C$3&gt;='設定 Settings'!$B$21,Lists!$C$3&lt;'設定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Settings'!$A$22=D$4),Lists!$C$3&gt;='設定 Settings'!$B$22,Lists!$C$3&lt;'設定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Settings'!$A$23=D$4),Lists!$C$3&gt;='設定 Settings'!$B$23,Lists!$C$3&lt;'設定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Settings'!$A$24=D$4),Lists!$C$3&gt;='設定 Settings'!$B$24,Lists!$C$3&lt;'設定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Settings'!$A$25=D$4),Lists!$C$3&gt;='設定 Settings'!$B$25,Lists!$C$3&lt;'設定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Settings'!$A$26=D$4),Lists!$C$3&gt;='設定 Settings'!$B$26,Lists!$C$3&lt;'設定 Settings'!$C$26),'設定 Settings'!$D$26,0))</f>
        <v/>
      </c>
      <c r="AC6">
        <f>MAX('設定 Settings'!$B$17,IF(AND(OR('設定 Settings'!$A$21="全部",AND('設定 Settings'!$A$21="平日",NOT(OR(E$4="星期六",E$4="星期日"))),AND('設定 Settings'!$A$21="週末",OR(E$4="星期六",E$4="星期日")),'設定 Settings'!$A$21=E$4),Lists!$C$3&gt;='設定 Settings'!$B$21,Lists!$C$3&lt;'設定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Settings'!$A$22=E$4),Lists!$C$3&gt;='設定 Settings'!$B$22,Lists!$C$3&lt;'設定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Settings'!$A$23=E$4),Lists!$C$3&gt;='設定 Settings'!$B$23,Lists!$C$3&lt;'設定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Settings'!$A$24=E$4),Lists!$C$3&gt;='設定 Settings'!$B$24,Lists!$C$3&lt;'設定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Settings'!$A$25=E$4),Lists!$C$3&gt;='設定 Settings'!$B$25,Lists!$C$3&lt;'設定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Settings'!$A$26=E$4),Lists!$C$3&gt;='設定 Settings'!$B$26,Lists!$C$3&lt;'設定 Settings'!$C$26),'設定 Settings'!$D$26,0))</f>
        <v/>
      </c>
      <c r="AD6">
        <f>MAX('設定 Settings'!$B$17,IF(AND(OR('設定 Settings'!$A$21="全部",AND('設定 Settings'!$A$21="平日",NOT(OR(F$4="星期六",F$4="星期日"))),AND('設定 Settings'!$A$21="週末",OR(F$4="星期六",F$4="星期日")),'設定 Settings'!$A$21=F$4),Lists!$C$3&gt;='設定 Settings'!$B$21,Lists!$C$3&lt;'設定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Settings'!$A$22=F$4),Lists!$C$3&gt;='設定 Settings'!$B$22,Lists!$C$3&lt;'設定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Settings'!$A$23=F$4),Lists!$C$3&gt;='設定 Settings'!$B$23,Lists!$C$3&lt;'設定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Settings'!$A$24=F$4),Lists!$C$3&gt;='設定 Settings'!$B$24,Lists!$C$3&lt;'設定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Settings'!$A$25=F$4),Lists!$C$3&gt;='設定 Settings'!$B$25,Lists!$C$3&lt;'設定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Settings'!$A$26=F$4),Lists!$C$3&gt;='設定 Settings'!$B$26,Lists!$C$3&lt;'設定 Settings'!$C$26),'設定 Settings'!$D$26,0))</f>
        <v/>
      </c>
      <c r="AE6">
        <f>MAX('設定 Settings'!$B$17,IF(AND(OR('設定 Settings'!$A$21="全部",AND('設定 Settings'!$A$21="平日",NOT(OR(G$4="星期六",G$4="星期日"))),AND('設定 Settings'!$A$21="週末",OR(G$4="星期六",G$4="星期日")),'設定 Settings'!$A$21=G$4),Lists!$C$3&gt;='設定 Settings'!$B$21,Lists!$C$3&lt;'設定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Settings'!$A$22=G$4),Lists!$C$3&gt;='設定 Settings'!$B$22,Lists!$C$3&lt;'設定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Settings'!$A$23=G$4),Lists!$C$3&gt;='設定 Settings'!$B$23,Lists!$C$3&lt;'設定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Settings'!$A$24=G$4),Lists!$C$3&gt;='設定 Settings'!$B$24,Lists!$C$3&lt;'設定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Settings'!$A$25=G$4),Lists!$C$3&gt;='設定 Settings'!$B$25,Lists!$C$3&lt;'設定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Settings'!$A$26=G$4),Lists!$C$3&gt;='設定 Settings'!$B$26,Lists!$C$3&lt;'設定 Settings'!$C$26),'設定 Settings'!$D$26,0))</f>
        <v/>
      </c>
      <c r="AF6">
        <f>MAX('設定 Settings'!$B$17,IF(AND(OR('設定 Settings'!$A$21="全部",AND('設定 Settings'!$A$21="平日",NOT(OR(H$4="星期六",H$4="星期日"))),AND('設定 Settings'!$A$21="週末",OR(H$4="星期六",H$4="星期日")),'設定 Settings'!$A$21=H$4),Lists!$C$3&gt;='設定 Settings'!$B$21,Lists!$C$3&lt;'設定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Settings'!$A$22=H$4),Lists!$C$3&gt;='設定 Settings'!$B$22,Lists!$C$3&lt;'設定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Settings'!$A$23=H$4),Lists!$C$3&gt;='設定 Settings'!$B$23,Lists!$C$3&lt;'設定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Settings'!$A$24=H$4),Lists!$C$3&gt;='設定 Settings'!$B$24,Lists!$C$3&lt;'設定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Settings'!$A$25=H$4),Lists!$C$3&gt;='設定 Settings'!$B$25,Lists!$C$3&lt;'設定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Settings'!$A$26=H$4),Lists!$C$3&gt;='設定 Settings'!$B$26,Lists!$C$3&lt;'設定 Settings'!$C$26),'設定 Settings'!$D$26,0))</f>
        <v/>
      </c>
    </row>
    <row r="7">
      <c r="A7" s="22" t="inlineStr">
        <is>
          <t>10:45am-11:15am</t>
        </is>
      </c>
      <c r="B7" s="23">
        <f>IF(B63="Work",1,0)+IF(B91="Work",1,0)+IF(B119="Work",1,0)+IF(B147="Work",1,0)+IF(B175="Work",1,0)</f>
        <v/>
      </c>
      <c r="C7" s="23">
        <f>IF(C63="Work",1,0)+IF(C91="Work",1,0)+IF(C119="Work",1,0)+IF(C147="Work",1,0)+IF(C175="Work",1,0)</f>
        <v/>
      </c>
      <c r="D7" s="23">
        <f>IF(D63="Work",1,0)+IF(D91="Work",1,0)+IF(D119="Work",1,0)+IF(D147="Work",1,0)+IF(D175="Work",1,0)</f>
        <v/>
      </c>
      <c r="E7" s="23">
        <f>IF(E63="Work",1,0)+IF(E91="Work",1,0)+IF(E119="Work",1,0)+IF(E147="Work",1,0)+IF(E175="Work",1,0)</f>
        <v/>
      </c>
      <c r="F7" s="23">
        <f>IF(F63="Work",1,0)+IF(F91="Work",1,0)+IF(F119="Work",1,0)+IF(F147="Work",1,0)+IF(F175="Work",1,0)</f>
        <v/>
      </c>
      <c r="G7" s="23">
        <f>IF(G63="Work",1,0)+IF(G91="Work",1,0)+IF(G119="Work",1,0)+IF(G147="Work",1,0)+IF(G175="Work",1,0)</f>
        <v/>
      </c>
      <c r="H7" s="23">
        <f>IF(H63="Work",1,0)+IF(H91="Work",1,0)+IF(H119="Work",1,0)+IF(H147="Work",1,0)+IF(H175="Work",1,0)</f>
        <v/>
      </c>
      <c r="Z7">
        <f>MAX('設定 Settings'!$B$17,IF(AND(OR('設定 Settings'!$A$21="全部",AND('設定 Settings'!$A$21="平日",NOT(OR(B$4="星期六",B$4="星期日"))),AND('設定 Settings'!$A$21="週末",OR(B$4="星期六",B$4="星期日")),'設定 Settings'!$A$21=B$4),Lists!$C$4&gt;='設定 Settings'!$B$21,Lists!$C$4&lt;'設定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Settings'!$A$22=B$4),Lists!$C$4&gt;='設定 Settings'!$B$22,Lists!$C$4&lt;'設定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Settings'!$A$23=B$4),Lists!$C$4&gt;='設定 Settings'!$B$23,Lists!$C$4&lt;'設定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Settings'!$A$24=B$4),Lists!$C$4&gt;='設定 Settings'!$B$24,Lists!$C$4&lt;'設定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Settings'!$A$25=B$4),Lists!$C$4&gt;='設定 Settings'!$B$25,Lists!$C$4&lt;'設定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Settings'!$A$26=B$4),Lists!$C$4&gt;='設定 Settings'!$B$26,Lists!$C$4&lt;'設定 Settings'!$C$26),'設定 Settings'!$D$26,0))</f>
        <v/>
      </c>
      <c r="AA7">
        <f>MAX('設定 Settings'!$B$17,IF(AND(OR('設定 Settings'!$A$21="全部",AND('設定 Settings'!$A$21="平日",NOT(OR(C$4="星期六",C$4="星期日"))),AND('設定 Settings'!$A$21="週末",OR(C$4="星期六",C$4="星期日")),'設定 Settings'!$A$21=C$4),Lists!$C$4&gt;='設定 Settings'!$B$21,Lists!$C$4&lt;'設定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Settings'!$A$22=C$4),Lists!$C$4&gt;='設定 Settings'!$B$22,Lists!$C$4&lt;'設定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Settings'!$A$23=C$4),Lists!$C$4&gt;='設定 Settings'!$B$23,Lists!$C$4&lt;'設定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Settings'!$A$24=C$4),Lists!$C$4&gt;='設定 Settings'!$B$24,Lists!$C$4&lt;'設定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Settings'!$A$25=C$4),Lists!$C$4&gt;='設定 Settings'!$B$25,Lists!$C$4&lt;'設定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Settings'!$A$26=C$4),Lists!$C$4&gt;='設定 Settings'!$B$26,Lists!$C$4&lt;'設定 Settings'!$C$26),'設定 Settings'!$D$26,0))</f>
        <v/>
      </c>
      <c r="AB7">
        <f>MAX('設定 Settings'!$B$17,IF(AND(OR('設定 Settings'!$A$21="全部",AND('設定 Settings'!$A$21="平日",NOT(OR(D$4="星期六",D$4="星期日"))),AND('設定 Settings'!$A$21="週末",OR(D$4="星期六",D$4="星期日")),'設定 Settings'!$A$21=D$4),Lists!$C$4&gt;='設定 Settings'!$B$21,Lists!$C$4&lt;'設定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Settings'!$A$22=D$4),Lists!$C$4&gt;='設定 Settings'!$B$22,Lists!$C$4&lt;'設定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Settings'!$A$23=D$4),Lists!$C$4&gt;='設定 Settings'!$B$23,Lists!$C$4&lt;'設定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Settings'!$A$24=D$4),Lists!$C$4&gt;='設定 Settings'!$B$24,Lists!$C$4&lt;'設定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Settings'!$A$25=D$4),Lists!$C$4&gt;='設定 Settings'!$B$25,Lists!$C$4&lt;'設定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Settings'!$A$26=D$4),Lists!$C$4&gt;='設定 Settings'!$B$26,Lists!$C$4&lt;'設定 Settings'!$C$26),'設定 Settings'!$D$26,0))</f>
        <v/>
      </c>
      <c r="AC7">
        <f>MAX('設定 Settings'!$B$17,IF(AND(OR('設定 Settings'!$A$21="全部",AND('設定 Settings'!$A$21="平日",NOT(OR(E$4="星期六",E$4="星期日"))),AND('設定 Settings'!$A$21="週末",OR(E$4="星期六",E$4="星期日")),'設定 Settings'!$A$21=E$4),Lists!$C$4&gt;='設定 Settings'!$B$21,Lists!$C$4&lt;'設定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Settings'!$A$22=E$4),Lists!$C$4&gt;='設定 Settings'!$B$22,Lists!$C$4&lt;'設定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Settings'!$A$23=E$4),Lists!$C$4&gt;='設定 Settings'!$B$23,Lists!$C$4&lt;'設定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Settings'!$A$24=E$4),Lists!$C$4&gt;='設定 Settings'!$B$24,Lists!$C$4&lt;'設定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Settings'!$A$25=E$4),Lists!$C$4&gt;='設定 Settings'!$B$25,Lists!$C$4&lt;'設定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Settings'!$A$26=E$4),Lists!$C$4&gt;='設定 Settings'!$B$26,Lists!$C$4&lt;'設定 Settings'!$C$26),'設定 Settings'!$D$26,0))</f>
        <v/>
      </c>
      <c r="AD7">
        <f>MAX('設定 Settings'!$B$17,IF(AND(OR('設定 Settings'!$A$21="全部",AND('設定 Settings'!$A$21="平日",NOT(OR(F$4="星期六",F$4="星期日"))),AND('設定 Settings'!$A$21="週末",OR(F$4="星期六",F$4="星期日")),'設定 Settings'!$A$21=F$4),Lists!$C$4&gt;='設定 Settings'!$B$21,Lists!$C$4&lt;'設定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Settings'!$A$22=F$4),Lists!$C$4&gt;='設定 Settings'!$B$22,Lists!$C$4&lt;'設定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Settings'!$A$23=F$4),Lists!$C$4&gt;='設定 Settings'!$B$23,Lists!$C$4&lt;'設定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Settings'!$A$24=F$4),Lists!$C$4&gt;='設定 Settings'!$B$24,Lists!$C$4&lt;'設定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Settings'!$A$25=F$4),Lists!$C$4&gt;='設定 Settings'!$B$25,Lists!$C$4&lt;'設定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Settings'!$A$26=F$4),Lists!$C$4&gt;='設定 Settings'!$B$26,Lists!$C$4&lt;'設定 Settings'!$C$26),'設定 Settings'!$D$26,0))</f>
        <v/>
      </c>
      <c r="AE7">
        <f>MAX('設定 Settings'!$B$17,IF(AND(OR('設定 Settings'!$A$21="全部",AND('設定 Settings'!$A$21="平日",NOT(OR(G$4="星期六",G$4="星期日"))),AND('設定 Settings'!$A$21="週末",OR(G$4="星期六",G$4="星期日")),'設定 Settings'!$A$21=G$4),Lists!$C$4&gt;='設定 Settings'!$B$21,Lists!$C$4&lt;'設定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Settings'!$A$22=G$4),Lists!$C$4&gt;='設定 Settings'!$B$22,Lists!$C$4&lt;'設定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Settings'!$A$23=G$4),Lists!$C$4&gt;='設定 Settings'!$B$23,Lists!$C$4&lt;'設定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Settings'!$A$24=G$4),Lists!$C$4&gt;='設定 Settings'!$B$24,Lists!$C$4&lt;'設定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Settings'!$A$25=G$4),Lists!$C$4&gt;='設定 Settings'!$B$25,Lists!$C$4&lt;'設定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Settings'!$A$26=G$4),Lists!$C$4&gt;='設定 Settings'!$B$26,Lists!$C$4&lt;'設定 Settings'!$C$26),'設定 Settings'!$D$26,0))</f>
        <v/>
      </c>
      <c r="AF7">
        <f>MAX('設定 Settings'!$B$17,IF(AND(OR('設定 Settings'!$A$21="全部",AND('設定 Settings'!$A$21="平日",NOT(OR(H$4="星期六",H$4="星期日"))),AND('設定 Settings'!$A$21="週末",OR(H$4="星期六",H$4="星期日")),'設定 Settings'!$A$21=H$4),Lists!$C$4&gt;='設定 Settings'!$B$21,Lists!$C$4&lt;'設定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Settings'!$A$22=H$4),Lists!$C$4&gt;='設定 Settings'!$B$22,Lists!$C$4&lt;'設定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Settings'!$A$23=H$4),Lists!$C$4&gt;='設定 Settings'!$B$23,Lists!$C$4&lt;'設定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Settings'!$A$24=H$4),Lists!$C$4&gt;='設定 Settings'!$B$24,Lists!$C$4&lt;'設定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Settings'!$A$25=H$4),Lists!$C$4&gt;='設定 Settings'!$B$25,Lists!$C$4&lt;'設定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Settings'!$A$26=H$4),Lists!$C$4&gt;='設定 Settings'!$B$26,Lists!$C$4&lt;'設定 Settings'!$C$26),'設定 Settings'!$D$26,0))</f>
        <v/>
      </c>
    </row>
    <row r="8">
      <c r="A8" s="22" t="inlineStr">
        <is>
          <t>11:15am-11:45am</t>
        </is>
      </c>
      <c r="B8" s="23">
        <f>IF(B64="Work",1,0)+IF(B92="Work",1,0)+IF(B120="Work",1,0)+IF(B148="Work",1,0)+IF(B176="Work",1,0)</f>
        <v/>
      </c>
      <c r="C8" s="23">
        <f>IF(C64="Work",1,0)+IF(C92="Work",1,0)+IF(C120="Work",1,0)+IF(C148="Work",1,0)+IF(C176="Work",1,0)</f>
        <v/>
      </c>
      <c r="D8" s="23">
        <f>IF(D64="Work",1,0)+IF(D92="Work",1,0)+IF(D120="Work",1,0)+IF(D148="Work",1,0)+IF(D176="Work",1,0)</f>
        <v/>
      </c>
      <c r="E8" s="23">
        <f>IF(E64="Work",1,0)+IF(E92="Work",1,0)+IF(E120="Work",1,0)+IF(E148="Work",1,0)+IF(E176="Work",1,0)</f>
        <v/>
      </c>
      <c r="F8" s="23">
        <f>IF(F64="Work",1,0)+IF(F92="Work",1,0)+IF(F120="Work",1,0)+IF(F148="Work",1,0)+IF(F176="Work",1,0)</f>
        <v/>
      </c>
      <c r="G8" s="23">
        <f>IF(G64="Work",1,0)+IF(G92="Work",1,0)+IF(G120="Work",1,0)+IF(G148="Work",1,0)+IF(G176="Work",1,0)</f>
        <v/>
      </c>
      <c r="H8" s="23">
        <f>IF(H64="Work",1,0)+IF(H92="Work",1,0)+IF(H120="Work",1,0)+IF(H148="Work",1,0)+IF(H176="Work",1,0)</f>
        <v/>
      </c>
      <c r="Z8">
        <f>MAX('設定 Settings'!$B$17,IF(AND(OR('設定 Settings'!$A$21="全部",AND('設定 Settings'!$A$21="平日",NOT(OR(B$4="星期六",B$4="星期日"))),AND('設定 Settings'!$A$21="週末",OR(B$4="星期六",B$4="星期日")),'設定 Settings'!$A$21=B$4),Lists!$C$5&gt;='設定 Settings'!$B$21,Lists!$C$5&lt;'設定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Settings'!$A$22=B$4),Lists!$C$5&gt;='設定 Settings'!$B$22,Lists!$C$5&lt;'設定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Settings'!$A$23=B$4),Lists!$C$5&gt;='設定 Settings'!$B$23,Lists!$C$5&lt;'設定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Settings'!$A$24=B$4),Lists!$C$5&gt;='設定 Settings'!$B$24,Lists!$C$5&lt;'設定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Settings'!$A$25=B$4),Lists!$C$5&gt;='設定 Settings'!$B$25,Lists!$C$5&lt;'設定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Settings'!$A$26=B$4),Lists!$C$5&gt;='設定 Settings'!$B$26,Lists!$C$5&lt;'設定 Settings'!$C$26),'設定 Settings'!$D$26,0))</f>
        <v/>
      </c>
      <c r="AA8">
        <f>MAX('設定 Settings'!$B$17,IF(AND(OR('設定 Settings'!$A$21="全部",AND('設定 Settings'!$A$21="平日",NOT(OR(C$4="星期六",C$4="星期日"))),AND('設定 Settings'!$A$21="週末",OR(C$4="星期六",C$4="星期日")),'設定 Settings'!$A$21=C$4),Lists!$C$5&gt;='設定 Settings'!$B$21,Lists!$C$5&lt;'設定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Settings'!$A$22=C$4),Lists!$C$5&gt;='設定 Settings'!$B$22,Lists!$C$5&lt;'設定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Settings'!$A$23=C$4),Lists!$C$5&gt;='設定 Settings'!$B$23,Lists!$C$5&lt;'設定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Settings'!$A$24=C$4),Lists!$C$5&gt;='設定 Settings'!$B$24,Lists!$C$5&lt;'設定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Settings'!$A$25=C$4),Lists!$C$5&gt;='設定 Settings'!$B$25,Lists!$C$5&lt;'設定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Settings'!$A$26=C$4),Lists!$C$5&gt;='設定 Settings'!$B$26,Lists!$C$5&lt;'設定 Settings'!$C$26),'設定 Settings'!$D$26,0))</f>
        <v/>
      </c>
      <c r="AB8">
        <f>MAX('設定 Settings'!$B$17,IF(AND(OR('設定 Settings'!$A$21="全部",AND('設定 Settings'!$A$21="平日",NOT(OR(D$4="星期六",D$4="星期日"))),AND('設定 Settings'!$A$21="週末",OR(D$4="星期六",D$4="星期日")),'設定 Settings'!$A$21=D$4),Lists!$C$5&gt;='設定 Settings'!$B$21,Lists!$C$5&lt;'設定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Settings'!$A$22=D$4),Lists!$C$5&gt;='設定 Settings'!$B$22,Lists!$C$5&lt;'設定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Settings'!$A$23=D$4),Lists!$C$5&gt;='設定 Settings'!$B$23,Lists!$C$5&lt;'設定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Settings'!$A$24=D$4),Lists!$C$5&gt;='設定 Settings'!$B$24,Lists!$C$5&lt;'設定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Settings'!$A$25=D$4),Lists!$C$5&gt;='設定 Settings'!$B$25,Lists!$C$5&lt;'設定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Settings'!$A$26=D$4),Lists!$C$5&gt;='設定 Settings'!$B$26,Lists!$C$5&lt;'設定 Settings'!$C$26),'設定 Settings'!$D$26,0))</f>
        <v/>
      </c>
      <c r="AC8">
        <f>MAX('設定 Settings'!$B$17,IF(AND(OR('設定 Settings'!$A$21="全部",AND('設定 Settings'!$A$21="平日",NOT(OR(E$4="星期六",E$4="星期日"))),AND('設定 Settings'!$A$21="週末",OR(E$4="星期六",E$4="星期日")),'設定 Settings'!$A$21=E$4),Lists!$C$5&gt;='設定 Settings'!$B$21,Lists!$C$5&lt;'設定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Settings'!$A$22=E$4),Lists!$C$5&gt;='設定 Settings'!$B$22,Lists!$C$5&lt;'設定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Settings'!$A$23=E$4),Lists!$C$5&gt;='設定 Settings'!$B$23,Lists!$C$5&lt;'設定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Settings'!$A$24=E$4),Lists!$C$5&gt;='設定 Settings'!$B$24,Lists!$C$5&lt;'設定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Settings'!$A$25=E$4),Lists!$C$5&gt;='設定 Settings'!$B$25,Lists!$C$5&lt;'設定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Settings'!$A$26=E$4),Lists!$C$5&gt;='設定 Settings'!$B$26,Lists!$C$5&lt;'設定 Settings'!$C$26),'設定 Settings'!$D$26,0))</f>
        <v/>
      </c>
      <c r="AD8">
        <f>MAX('設定 Settings'!$B$17,IF(AND(OR('設定 Settings'!$A$21="全部",AND('設定 Settings'!$A$21="平日",NOT(OR(F$4="星期六",F$4="星期日"))),AND('設定 Settings'!$A$21="週末",OR(F$4="星期六",F$4="星期日")),'設定 Settings'!$A$21=F$4),Lists!$C$5&gt;='設定 Settings'!$B$21,Lists!$C$5&lt;'設定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Settings'!$A$22=F$4),Lists!$C$5&gt;='設定 Settings'!$B$22,Lists!$C$5&lt;'設定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Settings'!$A$23=F$4),Lists!$C$5&gt;='設定 Settings'!$B$23,Lists!$C$5&lt;'設定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Settings'!$A$24=F$4),Lists!$C$5&gt;='設定 Settings'!$B$24,Lists!$C$5&lt;'設定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Settings'!$A$25=F$4),Lists!$C$5&gt;='設定 Settings'!$B$25,Lists!$C$5&lt;'設定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Settings'!$A$26=F$4),Lists!$C$5&gt;='設定 Settings'!$B$26,Lists!$C$5&lt;'設定 Settings'!$C$26),'設定 Settings'!$D$26,0))</f>
        <v/>
      </c>
      <c r="AE8">
        <f>MAX('設定 Settings'!$B$17,IF(AND(OR('設定 Settings'!$A$21="全部",AND('設定 Settings'!$A$21="平日",NOT(OR(G$4="星期六",G$4="星期日"))),AND('設定 Settings'!$A$21="週末",OR(G$4="星期六",G$4="星期日")),'設定 Settings'!$A$21=G$4),Lists!$C$5&gt;='設定 Settings'!$B$21,Lists!$C$5&lt;'設定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Settings'!$A$22=G$4),Lists!$C$5&gt;='設定 Settings'!$B$22,Lists!$C$5&lt;'設定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Settings'!$A$23=G$4),Lists!$C$5&gt;='設定 Settings'!$B$23,Lists!$C$5&lt;'設定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Settings'!$A$24=G$4),Lists!$C$5&gt;='設定 Settings'!$B$24,Lists!$C$5&lt;'設定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Settings'!$A$25=G$4),Lists!$C$5&gt;='設定 Settings'!$B$25,Lists!$C$5&lt;'設定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Settings'!$A$26=G$4),Lists!$C$5&gt;='設定 Settings'!$B$26,Lists!$C$5&lt;'設定 Settings'!$C$26),'設定 Settings'!$D$26,0))</f>
        <v/>
      </c>
      <c r="AF8">
        <f>MAX('設定 Settings'!$B$17,IF(AND(OR('設定 Settings'!$A$21="全部",AND('設定 Settings'!$A$21="平日",NOT(OR(H$4="星期六",H$4="星期日"))),AND('設定 Settings'!$A$21="週末",OR(H$4="星期六",H$4="星期日")),'設定 Settings'!$A$21=H$4),Lists!$C$5&gt;='設定 Settings'!$B$21,Lists!$C$5&lt;'設定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Settings'!$A$22=H$4),Lists!$C$5&gt;='設定 Settings'!$B$22,Lists!$C$5&lt;'設定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Settings'!$A$23=H$4),Lists!$C$5&gt;='設定 Settings'!$B$23,Lists!$C$5&lt;'設定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Settings'!$A$24=H$4),Lists!$C$5&gt;='設定 Settings'!$B$24,Lists!$C$5&lt;'設定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Settings'!$A$25=H$4),Lists!$C$5&gt;='設定 Settings'!$B$25,Lists!$C$5&lt;'設定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Settings'!$A$26=H$4),Lists!$C$5&gt;='設定 Settings'!$B$26,Lists!$C$5&lt;'設定 Settings'!$C$26),'設定 Settings'!$D$26,0))</f>
        <v/>
      </c>
    </row>
    <row r="9">
      <c r="A9" s="22" t="inlineStr">
        <is>
          <t>11:45am-12:15pm</t>
        </is>
      </c>
      <c r="B9" s="23">
        <f>IF(B65="Work",1,0)+IF(B93="Work",1,0)+IF(B121="Work",1,0)+IF(B149="Work",1,0)+IF(B177="Work",1,0)</f>
        <v/>
      </c>
      <c r="C9" s="23">
        <f>IF(C65="Work",1,0)+IF(C93="Work",1,0)+IF(C121="Work",1,0)+IF(C149="Work",1,0)+IF(C177="Work",1,0)</f>
        <v/>
      </c>
      <c r="D9" s="23">
        <f>IF(D65="Work",1,0)+IF(D93="Work",1,0)+IF(D121="Work",1,0)+IF(D149="Work",1,0)+IF(D177="Work",1,0)</f>
        <v/>
      </c>
      <c r="E9" s="23">
        <f>IF(E65="Work",1,0)+IF(E93="Work",1,0)+IF(E121="Work",1,0)+IF(E149="Work",1,0)+IF(E177="Work",1,0)</f>
        <v/>
      </c>
      <c r="F9" s="23">
        <f>IF(F65="Work",1,0)+IF(F93="Work",1,0)+IF(F121="Work",1,0)+IF(F149="Work",1,0)+IF(F177="Work",1,0)</f>
        <v/>
      </c>
      <c r="G9" s="23">
        <f>IF(G65="Work",1,0)+IF(G93="Work",1,0)+IF(G121="Work",1,0)+IF(G149="Work",1,0)+IF(G177="Work",1,0)</f>
        <v/>
      </c>
      <c r="H9" s="23">
        <f>IF(H65="Work",1,0)+IF(H93="Work",1,0)+IF(H121="Work",1,0)+IF(H149="Work",1,0)+IF(H177="Work",1,0)</f>
        <v/>
      </c>
      <c r="Z9">
        <f>MAX('設定 Settings'!$B$17,IF(AND(OR('設定 Settings'!$A$21="全部",AND('設定 Settings'!$A$21="平日",NOT(OR(B$4="星期六",B$4="星期日"))),AND('設定 Settings'!$A$21="週末",OR(B$4="星期六",B$4="星期日")),'設定 Settings'!$A$21=B$4),Lists!$C$6&gt;='設定 Settings'!$B$21,Lists!$C$6&lt;'設定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Settings'!$A$22=B$4),Lists!$C$6&gt;='設定 Settings'!$B$22,Lists!$C$6&lt;'設定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Settings'!$A$23=B$4),Lists!$C$6&gt;='設定 Settings'!$B$23,Lists!$C$6&lt;'設定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Settings'!$A$24=B$4),Lists!$C$6&gt;='設定 Settings'!$B$24,Lists!$C$6&lt;'設定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Settings'!$A$25=B$4),Lists!$C$6&gt;='設定 Settings'!$B$25,Lists!$C$6&lt;'設定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Settings'!$A$26=B$4),Lists!$C$6&gt;='設定 Settings'!$B$26,Lists!$C$6&lt;'設定 Settings'!$C$26),'設定 Settings'!$D$26,0))</f>
        <v/>
      </c>
      <c r="AA9">
        <f>MAX('設定 Settings'!$B$17,IF(AND(OR('設定 Settings'!$A$21="全部",AND('設定 Settings'!$A$21="平日",NOT(OR(C$4="星期六",C$4="星期日"))),AND('設定 Settings'!$A$21="週末",OR(C$4="星期六",C$4="星期日")),'設定 Settings'!$A$21=C$4),Lists!$C$6&gt;='設定 Settings'!$B$21,Lists!$C$6&lt;'設定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Settings'!$A$22=C$4),Lists!$C$6&gt;='設定 Settings'!$B$22,Lists!$C$6&lt;'設定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Settings'!$A$23=C$4),Lists!$C$6&gt;='設定 Settings'!$B$23,Lists!$C$6&lt;'設定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Settings'!$A$24=C$4),Lists!$C$6&gt;='設定 Settings'!$B$24,Lists!$C$6&lt;'設定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Settings'!$A$25=C$4),Lists!$C$6&gt;='設定 Settings'!$B$25,Lists!$C$6&lt;'設定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Settings'!$A$26=C$4),Lists!$C$6&gt;='設定 Settings'!$B$26,Lists!$C$6&lt;'設定 Settings'!$C$26),'設定 Settings'!$D$26,0))</f>
        <v/>
      </c>
      <c r="AB9">
        <f>MAX('設定 Settings'!$B$17,IF(AND(OR('設定 Settings'!$A$21="全部",AND('設定 Settings'!$A$21="平日",NOT(OR(D$4="星期六",D$4="星期日"))),AND('設定 Settings'!$A$21="週末",OR(D$4="星期六",D$4="星期日")),'設定 Settings'!$A$21=D$4),Lists!$C$6&gt;='設定 Settings'!$B$21,Lists!$C$6&lt;'設定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Settings'!$A$22=D$4),Lists!$C$6&gt;='設定 Settings'!$B$22,Lists!$C$6&lt;'設定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Settings'!$A$23=D$4),Lists!$C$6&gt;='設定 Settings'!$B$23,Lists!$C$6&lt;'設定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Settings'!$A$24=D$4),Lists!$C$6&gt;='設定 Settings'!$B$24,Lists!$C$6&lt;'設定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Settings'!$A$25=D$4),Lists!$C$6&gt;='設定 Settings'!$B$25,Lists!$C$6&lt;'設定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Settings'!$A$26=D$4),Lists!$C$6&gt;='設定 Settings'!$B$26,Lists!$C$6&lt;'設定 Settings'!$C$26),'設定 Settings'!$D$26,0))</f>
        <v/>
      </c>
      <c r="AC9">
        <f>MAX('設定 Settings'!$B$17,IF(AND(OR('設定 Settings'!$A$21="全部",AND('設定 Settings'!$A$21="平日",NOT(OR(E$4="星期六",E$4="星期日"))),AND('設定 Settings'!$A$21="週末",OR(E$4="星期六",E$4="星期日")),'設定 Settings'!$A$21=E$4),Lists!$C$6&gt;='設定 Settings'!$B$21,Lists!$C$6&lt;'設定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Settings'!$A$22=E$4),Lists!$C$6&gt;='設定 Settings'!$B$22,Lists!$C$6&lt;'設定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Settings'!$A$23=E$4),Lists!$C$6&gt;='設定 Settings'!$B$23,Lists!$C$6&lt;'設定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Settings'!$A$24=E$4),Lists!$C$6&gt;='設定 Settings'!$B$24,Lists!$C$6&lt;'設定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Settings'!$A$25=E$4),Lists!$C$6&gt;='設定 Settings'!$B$25,Lists!$C$6&lt;'設定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Settings'!$A$26=E$4),Lists!$C$6&gt;='設定 Settings'!$B$26,Lists!$C$6&lt;'設定 Settings'!$C$26),'設定 Settings'!$D$26,0))</f>
        <v/>
      </c>
      <c r="AD9">
        <f>MAX('設定 Settings'!$B$17,IF(AND(OR('設定 Settings'!$A$21="全部",AND('設定 Settings'!$A$21="平日",NOT(OR(F$4="星期六",F$4="星期日"))),AND('設定 Settings'!$A$21="週末",OR(F$4="星期六",F$4="星期日")),'設定 Settings'!$A$21=F$4),Lists!$C$6&gt;='設定 Settings'!$B$21,Lists!$C$6&lt;'設定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Settings'!$A$22=F$4),Lists!$C$6&gt;='設定 Settings'!$B$22,Lists!$C$6&lt;'設定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Settings'!$A$23=F$4),Lists!$C$6&gt;='設定 Settings'!$B$23,Lists!$C$6&lt;'設定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Settings'!$A$24=F$4),Lists!$C$6&gt;='設定 Settings'!$B$24,Lists!$C$6&lt;'設定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Settings'!$A$25=F$4),Lists!$C$6&gt;='設定 Settings'!$B$25,Lists!$C$6&lt;'設定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Settings'!$A$26=F$4),Lists!$C$6&gt;='設定 Settings'!$B$26,Lists!$C$6&lt;'設定 Settings'!$C$26),'設定 Settings'!$D$26,0))</f>
        <v/>
      </c>
      <c r="AE9">
        <f>MAX('設定 Settings'!$B$17,IF(AND(OR('設定 Settings'!$A$21="全部",AND('設定 Settings'!$A$21="平日",NOT(OR(G$4="星期六",G$4="星期日"))),AND('設定 Settings'!$A$21="週末",OR(G$4="星期六",G$4="星期日")),'設定 Settings'!$A$21=G$4),Lists!$C$6&gt;='設定 Settings'!$B$21,Lists!$C$6&lt;'設定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Settings'!$A$22=G$4),Lists!$C$6&gt;='設定 Settings'!$B$22,Lists!$C$6&lt;'設定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Settings'!$A$23=G$4),Lists!$C$6&gt;='設定 Settings'!$B$23,Lists!$C$6&lt;'設定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Settings'!$A$24=G$4),Lists!$C$6&gt;='設定 Settings'!$B$24,Lists!$C$6&lt;'設定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Settings'!$A$25=G$4),Lists!$C$6&gt;='設定 Settings'!$B$25,Lists!$C$6&lt;'設定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Settings'!$A$26=G$4),Lists!$C$6&gt;='設定 Settings'!$B$26,Lists!$C$6&lt;'設定 Settings'!$C$26),'設定 Settings'!$D$26,0))</f>
        <v/>
      </c>
      <c r="AF9">
        <f>MAX('設定 Settings'!$B$17,IF(AND(OR('設定 Settings'!$A$21="全部",AND('設定 Settings'!$A$21="平日",NOT(OR(H$4="星期六",H$4="星期日"))),AND('設定 Settings'!$A$21="週末",OR(H$4="星期六",H$4="星期日")),'設定 Settings'!$A$21=H$4),Lists!$C$6&gt;='設定 Settings'!$B$21,Lists!$C$6&lt;'設定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Settings'!$A$22=H$4),Lists!$C$6&gt;='設定 Settings'!$B$22,Lists!$C$6&lt;'設定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Settings'!$A$23=H$4),Lists!$C$6&gt;='設定 Settings'!$B$23,Lists!$C$6&lt;'設定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Settings'!$A$24=H$4),Lists!$C$6&gt;='設定 Settings'!$B$24,Lists!$C$6&lt;'設定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Settings'!$A$25=H$4),Lists!$C$6&gt;='設定 Settings'!$B$25,Lists!$C$6&lt;'設定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Settings'!$A$26=H$4),Lists!$C$6&gt;='設定 Settings'!$B$26,Lists!$C$6&lt;'設定 Settings'!$C$26),'設定 Settings'!$D$26,0))</f>
        <v/>
      </c>
    </row>
    <row r="10">
      <c r="A10" s="22" t="inlineStr">
        <is>
          <t>12:15pm-12:45pm</t>
        </is>
      </c>
      <c r="B10" s="23">
        <f>IF(B66="Work",1,0)+IF(B94="Work",1,0)+IF(B122="Work",1,0)+IF(B150="Work",1,0)+IF(B178="Work",1,0)</f>
        <v/>
      </c>
      <c r="C10" s="23">
        <f>IF(C66="Work",1,0)+IF(C94="Work",1,0)+IF(C122="Work",1,0)+IF(C150="Work",1,0)+IF(C178="Work",1,0)</f>
        <v/>
      </c>
      <c r="D10" s="23">
        <f>IF(D66="Work",1,0)+IF(D94="Work",1,0)+IF(D122="Work",1,0)+IF(D150="Work",1,0)+IF(D178="Work",1,0)</f>
        <v/>
      </c>
      <c r="E10" s="23">
        <f>IF(E66="Work",1,0)+IF(E94="Work",1,0)+IF(E122="Work",1,0)+IF(E150="Work",1,0)+IF(E178="Work",1,0)</f>
        <v/>
      </c>
      <c r="F10" s="23">
        <f>IF(F66="Work",1,0)+IF(F94="Work",1,0)+IF(F122="Work",1,0)+IF(F150="Work",1,0)+IF(F178="Work",1,0)</f>
        <v/>
      </c>
      <c r="G10" s="23">
        <f>IF(G66="Work",1,0)+IF(G94="Work",1,0)+IF(G122="Work",1,0)+IF(G150="Work",1,0)+IF(G178="Work",1,0)</f>
        <v/>
      </c>
      <c r="H10" s="23">
        <f>IF(H66="Work",1,0)+IF(H94="Work",1,0)+IF(H122="Work",1,0)+IF(H150="Work",1,0)+IF(H178="Work",1,0)</f>
        <v/>
      </c>
      <c r="Z10">
        <f>MAX('設定 Settings'!$B$17,IF(AND(OR('設定 Settings'!$A$21="全部",AND('設定 Settings'!$A$21="平日",NOT(OR(B$4="星期六",B$4="星期日"))),AND('設定 Settings'!$A$21="週末",OR(B$4="星期六",B$4="星期日")),'設定 Settings'!$A$21=B$4),Lists!$C$7&gt;='設定 Settings'!$B$21,Lists!$C$7&lt;'設定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Settings'!$A$22=B$4),Lists!$C$7&gt;='設定 Settings'!$B$22,Lists!$C$7&lt;'設定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Settings'!$A$23=B$4),Lists!$C$7&gt;='設定 Settings'!$B$23,Lists!$C$7&lt;'設定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Settings'!$A$24=B$4),Lists!$C$7&gt;='設定 Settings'!$B$24,Lists!$C$7&lt;'設定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Settings'!$A$25=B$4),Lists!$C$7&gt;='設定 Settings'!$B$25,Lists!$C$7&lt;'設定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Settings'!$A$26=B$4),Lists!$C$7&gt;='設定 Settings'!$B$26,Lists!$C$7&lt;'設定 Settings'!$C$26),'設定 Settings'!$D$26,0))</f>
        <v/>
      </c>
      <c r="AA10">
        <f>MAX('設定 Settings'!$B$17,IF(AND(OR('設定 Settings'!$A$21="全部",AND('設定 Settings'!$A$21="平日",NOT(OR(C$4="星期六",C$4="星期日"))),AND('設定 Settings'!$A$21="週末",OR(C$4="星期六",C$4="星期日")),'設定 Settings'!$A$21=C$4),Lists!$C$7&gt;='設定 Settings'!$B$21,Lists!$C$7&lt;'設定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Settings'!$A$22=C$4),Lists!$C$7&gt;='設定 Settings'!$B$22,Lists!$C$7&lt;'設定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Settings'!$A$23=C$4),Lists!$C$7&gt;='設定 Settings'!$B$23,Lists!$C$7&lt;'設定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Settings'!$A$24=C$4),Lists!$C$7&gt;='設定 Settings'!$B$24,Lists!$C$7&lt;'設定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Settings'!$A$25=C$4),Lists!$C$7&gt;='設定 Settings'!$B$25,Lists!$C$7&lt;'設定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Settings'!$A$26=C$4),Lists!$C$7&gt;='設定 Settings'!$B$26,Lists!$C$7&lt;'設定 Settings'!$C$26),'設定 Settings'!$D$26,0))</f>
        <v/>
      </c>
      <c r="AB10">
        <f>MAX('設定 Settings'!$B$17,IF(AND(OR('設定 Settings'!$A$21="全部",AND('設定 Settings'!$A$21="平日",NOT(OR(D$4="星期六",D$4="星期日"))),AND('設定 Settings'!$A$21="週末",OR(D$4="星期六",D$4="星期日")),'設定 Settings'!$A$21=D$4),Lists!$C$7&gt;='設定 Settings'!$B$21,Lists!$C$7&lt;'設定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Settings'!$A$22=D$4),Lists!$C$7&gt;='設定 Settings'!$B$22,Lists!$C$7&lt;'設定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Settings'!$A$23=D$4),Lists!$C$7&gt;='設定 Settings'!$B$23,Lists!$C$7&lt;'設定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Settings'!$A$24=D$4),Lists!$C$7&gt;='設定 Settings'!$B$24,Lists!$C$7&lt;'設定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Settings'!$A$25=D$4),Lists!$C$7&gt;='設定 Settings'!$B$25,Lists!$C$7&lt;'設定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Settings'!$A$26=D$4),Lists!$C$7&gt;='設定 Settings'!$B$26,Lists!$C$7&lt;'設定 Settings'!$C$26),'設定 Settings'!$D$26,0))</f>
        <v/>
      </c>
      <c r="AC10">
        <f>MAX('設定 Settings'!$B$17,IF(AND(OR('設定 Settings'!$A$21="全部",AND('設定 Settings'!$A$21="平日",NOT(OR(E$4="星期六",E$4="星期日"))),AND('設定 Settings'!$A$21="週末",OR(E$4="星期六",E$4="星期日")),'設定 Settings'!$A$21=E$4),Lists!$C$7&gt;='設定 Settings'!$B$21,Lists!$C$7&lt;'設定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Settings'!$A$22=E$4),Lists!$C$7&gt;='設定 Settings'!$B$22,Lists!$C$7&lt;'設定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Settings'!$A$23=E$4),Lists!$C$7&gt;='設定 Settings'!$B$23,Lists!$C$7&lt;'設定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Settings'!$A$24=E$4),Lists!$C$7&gt;='設定 Settings'!$B$24,Lists!$C$7&lt;'設定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Settings'!$A$25=E$4),Lists!$C$7&gt;='設定 Settings'!$B$25,Lists!$C$7&lt;'設定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Settings'!$A$26=E$4),Lists!$C$7&gt;='設定 Settings'!$B$26,Lists!$C$7&lt;'設定 Settings'!$C$26),'設定 Settings'!$D$26,0))</f>
        <v/>
      </c>
      <c r="AD10">
        <f>MAX('設定 Settings'!$B$17,IF(AND(OR('設定 Settings'!$A$21="全部",AND('設定 Settings'!$A$21="平日",NOT(OR(F$4="星期六",F$4="星期日"))),AND('設定 Settings'!$A$21="週末",OR(F$4="星期六",F$4="星期日")),'設定 Settings'!$A$21=F$4),Lists!$C$7&gt;='設定 Settings'!$B$21,Lists!$C$7&lt;'設定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Settings'!$A$22=F$4),Lists!$C$7&gt;='設定 Settings'!$B$22,Lists!$C$7&lt;'設定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Settings'!$A$23=F$4),Lists!$C$7&gt;='設定 Settings'!$B$23,Lists!$C$7&lt;'設定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Settings'!$A$24=F$4),Lists!$C$7&gt;='設定 Settings'!$B$24,Lists!$C$7&lt;'設定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Settings'!$A$25=F$4),Lists!$C$7&gt;='設定 Settings'!$B$25,Lists!$C$7&lt;'設定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Settings'!$A$26=F$4),Lists!$C$7&gt;='設定 Settings'!$B$26,Lists!$C$7&lt;'設定 Settings'!$C$26),'設定 Settings'!$D$26,0))</f>
        <v/>
      </c>
      <c r="AE10">
        <f>MAX('設定 Settings'!$B$17,IF(AND(OR('設定 Settings'!$A$21="全部",AND('設定 Settings'!$A$21="平日",NOT(OR(G$4="星期六",G$4="星期日"))),AND('設定 Settings'!$A$21="週末",OR(G$4="星期六",G$4="星期日")),'設定 Settings'!$A$21=G$4),Lists!$C$7&gt;='設定 Settings'!$B$21,Lists!$C$7&lt;'設定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Settings'!$A$22=G$4),Lists!$C$7&gt;='設定 Settings'!$B$22,Lists!$C$7&lt;'設定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Settings'!$A$23=G$4),Lists!$C$7&gt;='設定 Settings'!$B$23,Lists!$C$7&lt;'設定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Settings'!$A$24=G$4),Lists!$C$7&gt;='設定 Settings'!$B$24,Lists!$C$7&lt;'設定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Settings'!$A$25=G$4),Lists!$C$7&gt;='設定 Settings'!$B$25,Lists!$C$7&lt;'設定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Settings'!$A$26=G$4),Lists!$C$7&gt;='設定 Settings'!$B$26,Lists!$C$7&lt;'設定 Settings'!$C$26),'設定 Settings'!$D$26,0))</f>
        <v/>
      </c>
      <c r="AF10">
        <f>MAX('設定 Settings'!$B$17,IF(AND(OR('設定 Settings'!$A$21="全部",AND('設定 Settings'!$A$21="平日",NOT(OR(H$4="星期六",H$4="星期日"))),AND('設定 Settings'!$A$21="週末",OR(H$4="星期六",H$4="星期日")),'設定 Settings'!$A$21=H$4),Lists!$C$7&gt;='設定 Settings'!$B$21,Lists!$C$7&lt;'設定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Settings'!$A$22=H$4),Lists!$C$7&gt;='設定 Settings'!$B$22,Lists!$C$7&lt;'設定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Settings'!$A$23=H$4),Lists!$C$7&gt;='設定 Settings'!$B$23,Lists!$C$7&lt;'設定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Settings'!$A$24=H$4),Lists!$C$7&gt;='設定 Settings'!$B$24,Lists!$C$7&lt;'設定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Settings'!$A$25=H$4),Lists!$C$7&gt;='設定 Settings'!$B$25,Lists!$C$7&lt;'設定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Settings'!$A$26=H$4),Lists!$C$7&gt;='設定 Settings'!$B$26,Lists!$C$7&lt;'設定 Settings'!$C$26),'設定 Settings'!$D$26,0))</f>
        <v/>
      </c>
    </row>
    <row r="11">
      <c r="A11" s="22" t="inlineStr">
        <is>
          <t>12:45pm-1:15pm</t>
        </is>
      </c>
      <c r="B11" s="23">
        <f>IF(B67="Work",1,0)+IF(B95="Work",1,0)+IF(B123="Work",1,0)+IF(B151="Work",1,0)+IF(B179="Work",1,0)</f>
        <v/>
      </c>
      <c r="C11" s="23">
        <f>IF(C67="Work",1,0)+IF(C95="Work",1,0)+IF(C123="Work",1,0)+IF(C151="Work",1,0)+IF(C179="Work",1,0)</f>
        <v/>
      </c>
      <c r="D11" s="23">
        <f>IF(D67="Work",1,0)+IF(D95="Work",1,0)+IF(D123="Work",1,0)+IF(D151="Work",1,0)+IF(D179="Work",1,0)</f>
        <v/>
      </c>
      <c r="E11" s="23">
        <f>IF(E67="Work",1,0)+IF(E95="Work",1,0)+IF(E123="Work",1,0)+IF(E151="Work",1,0)+IF(E179="Work",1,0)</f>
        <v/>
      </c>
      <c r="F11" s="23">
        <f>IF(F67="Work",1,0)+IF(F95="Work",1,0)+IF(F123="Work",1,0)+IF(F151="Work",1,0)+IF(F179="Work",1,0)</f>
        <v/>
      </c>
      <c r="G11" s="23">
        <f>IF(G67="Work",1,0)+IF(G95="Work",1,0)+IF(G123="Work",1,0)+IF(G151="Work",1,0)+IF(G179="Work",1,0)</f>
        <v/>
      </c>
      <c r="H11" s="23">
        <f>IF(H67="Work",1,0)+IF(H95="Work",1,0)+IF(H123="Work",1,0)+IF(H151="Work",1,0)+IF(H179="Work",1,0)</f>
        <v/>
      </c>
      <c r="Z11">
        <f>MAX('設定 Settings'!$B$17,IF(AND(OR('設定 Settings'!$A$21="全部",AND('設定 Settings'!$A$21="平日",NOT(OR(B$4="星期六",B$4="星期日"))),AND('設定 Settings'!$A$21="週末",OR(B$4="星期六",B$4="星期日")),'設定 Settings'!$A$21=B$4),Lists!$C$8&gt;='設定 Settings'!$B$21,Lists!$C$8&lt;'設定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Settings'!$A$22=B$4),Lists!$C$8&gt;='設定 Settings'!$B$22,Lists!$C$8&lt;'設定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Settings'!$A$23=B$4),Lists!$C$8&gt;='設定 Settings'!$B$23,Lists!$C$8&lt;'設定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Settings'!$A$24=B$4),Lists!$C$8&gt;='設定 Settings'!$B$24,Lists!$C$8&lt;'設定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Settings'!$A$25=B$4),Lists!$C$8&gt;='設定 Settings'!$B$25,Lists!$C$8&lt;'設定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Settings'!$A$26=B$4),Lists!$C$8&gt;='設定 Settings'!$B$26,Lists!$C$8&lt;'設定 Settings'!$C$26),'設定 Settings'!$D$26,0))</f>
        <v/>
      </c>
      <c r="AA11">
        <f>MAX('設定 Settings'!$B$17,IF(AND(OR('設定 Settings'!$A$21="全部",AND('設定 Settings'!$A$21="平日",NOT(OR(C$4="星期六",C$4="星期日"))),AND('設定 Settings'!$A$21="週末",OR(C$4="星期六",C$4="星期日")),'設定 Settings'!$A$21=C$4),Lists!$C$8&gt;='設定 Settings'!$B$21,Lists!$C$8&lt;'設定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Settings'!$A$22=C$4),Lists!$C$8&gt;='設定 Settings'!$B$22,Lists!$C$8&lt;'設定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Settings'!$A$23=C$4),Lists!$C$8&gt;='設定 Settings'!$B$23,Lists!$C$8&lt;'設定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Settings'!$A$24=C$4),Lists!$C$8&gt;='設定 Settings'!$B$24,Lists!$C$8&lt;'設定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Settings'!$A$25=C$4),Lists!$C$8&gt;='設定 Settings'!$B$25,Lists!$C$8&lt;'設定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Settings'!$A$26=C$4),Lists!$C$8&gt;='設定 Settings'!$B$26,Lists!$C$8&lt;'設定 Settings'!$C$26),'設定 Settings'!$D$26,0))</f>
        <v/>
      </c>
      <c r="AB11">
        <f>MAX('設定 Settings'!$B$17,IF(AND(OR('設定 Settings'!$A$21="全部",AND('設定 Settings'!$A$21="平日",NOT(OR(D$4="星期六",D$4="星期日"))),AND('設定 Settings'!$A$21="週末",OR(D$4="星期六",D$4="星期日")),'設定 Settings'!$A$21=D$4),Lists!$C$8&gt;='設定 Settings'!$B$21,Lists!$C$8&lt;'設定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Settings'!$A$22=D$4),Lists!$C$8&gt;='設定 Settings'!$B$22,Lists!$C$8&lt;'設定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Settings'!$A$23=D$4),Lists!$C$8&gt;='設定 Settings'!$B$23,Lists!$C$8&lt;'設定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Settings'!$A$24=D$4),Lists!$C$8&gt;='設定 Settings'!$B$24,Lists!$C$8&lt;'設定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Settings'!$A$25=D$4),Lists!$C$8&gt;='設定 Settings'!$B$25,Lists!$C$8&lt;'設定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Settings'!$A$26=D$4),Lists!$C$8&gt;='設定 Settings'!$B$26,Lists!$C$8&lt;'設定 Settings'!$C$26),'設定 Settings'!$D$26,0))</f>
        <v/>
      </c>
      <c r="AC11">
        <f>MAX('設定 Settings'!$B$17,IF(AND(OR('設定 Settings'!$A$21="全部",AND('設定 Settings'!$A$21="平日",NOT(OR(E$4="星期六",E$4="星期日"))),AND('設定 Settings'!$A$21="週末",OR(E$4="星期六",E$4="星期日")),'設定 Settings'!$A$21=E$4),Lists!$C$8&gt;='設定 Settings'!$B$21,Lists!$C$8&lt;'設定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Settings'!$A$22=E$4),Lists!$C$8&gt;='設定 Settings'!$B$22,Lists!$C$8&lt;'設定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Settings'!$A$23=E$4),Lists!$C$8&gt;='設定 Settings'!$B$23,Lists!$C$8&lt;'設定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Settings'!$A$24=E$4),Lists!$C$8&gt;='設定 Settings'!$B$24,Lists!$C$8&lt;'設定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Settings'!$A$25=E$4),Lists!$C$8&gt;='設定 Settings'!$B$25,Lists!$C$8&lt;'設定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Settings'!$A$26=E$4),Lists!$C$8&gt;='設定 Settings'!$B$26,Lists!$C$8&lt;'設定 Settings'!$C$26),'設定 Settings'!$D$26,0))</f>
        <v/>
      </c>
      <c r="AD11">
        <f>MAX('設定 Settings'!$B$17,IF(AND(OR('設定 Settings'!$A$21="全部",AND('設定 Settings'!$A$21="平日",NOT(OR(F$4="星期六",F$4="星期日"))),AND('設定 Settings'!$A$21="週末",OR(F$4="星期六",F$4="星期日")),'設定 Settings'!$A$21=F$4),Lists!$C$8&gt;='設定 Settings'!$B$21,Lists!$C$8&lt;'設定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Settings'!$A$22=F$4),Lists!$C$8&gt;='設定 Settings'!$B$22,Lists!$C$8&lt;'設定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Settings'!$A$23=F$4),Lists!$C$8&gt;='設定 Settings'!$B$23,Lists!$C$8&lt;'設定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Settings'!$A$24=F$4),Lists!$C$8&gt;='設定 Settings'!$B$24,Lists!$C$8&lt;'設定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Settings'!$A$25=F$4),Lists!$C$8&gt;='設定 Settings'!$B$25,Lists!$C$8&lt;'設定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Settings'!$A$26=F$4),Lists!$C$8&gt;='設定 Settings'!$B$26,Lists!$C$8&lt;'設定 Settings'!$C$26),'設定 Settings'!$D$26,0))</f>
        <v/>
      </c>
      <c r="AE11">
        <f>MAX('設定 Settings'!$B$17,IF(AND(OR('設定 Settings'!$A$21="全部",AND('設定 Settings'!$A$21="平日",NOT(OR(G$4="星期六",G$4="星期日"))),AND('設定 Settings'!$A$21="週末",OR(G$4="星期六",G$4="星期日")),'設定 Settings'!$A$21=G$4),Lists!$C$8&gt;='設定 Settings'!$B$21,Lists!$C$8&lt;'設定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Settings'!$A$22=G$4),Lists!$C$8&gt;='設定 Settings'!$B$22,Lists!$C$8&lt;'設定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Settings'!$A$23=G$4),Lists!$C$8&gt;='設定 Settings'!$B$23,Lists!$C$8&lt;'設定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Settings'!$A$24=G$4),Lists!$C$8&gt;='設定 Settings'!$B$24,Lists!$C$8&lt;'設定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Settings'!$A$25=G$4),Lists!$C$8&gt;='設定 Settings'!$B$25,Lists!$C$8&lt;'設定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Settings'!$A$26=G$4),Lists!$C$8&gt;='設定 Settings'!$B$26,Lists!$C$8&lt;'設定 Settings'!$C$26),'設定 Settings'!$D$26,0))</f>
        <v/>
      </c>
      <c r="AF11">
        <f>MAX('設定 Settings'!$B$17,IF(AND(OR('設定 Settings'!$A$21="全部",AND('設定 Settings'!$A$21="平日",NOT(OR(H$4="星期六",H$4="星期日"))),AND('設定 Settings'!$A$21="週末",OR(H$4="星期六",H$4="星期日")),'設定 Settings'!$A$21=H$4),Lists!$C$8&gt;='設定 Settings'!$B$21,Lists!$C$8&lt;'設定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Settings'!$A$22=H$4),Lists!$C$8&gt;='設定 Settings'!$B$22,Lists!$C$8&lt;'設定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Settings'!$A$23=H$4),Lists!$C$8&gt;='設定 Settings'!$B$23,Lists!$C$8&lt;'設定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Settings'!$A$24=H$4),Lists!$C$8&gt;='設定 Settings'!$B$24,Lists!$C$8&lt;'設定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Settings'!$A$25=H$4),Lists!$C$8&gt;='設定 Settings'!$B$25,Lists!$C$8&lt;'設定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Settings'!$A$26=H$4),Lists!$C$8&gt;='設定 Settings'!$B$26,Lists!$C$8&lt;'設定 Settings'!$C$26),'設定 Settings'!$D$26,0))</f>
        <v/>
      </c>
    </row>
    <row r="12">
      <c r="A12" s="22" t="inlineStr">
        <is>
          <t>1:15pm-1:45pm</t>
        </is>
      </c>
      <c r="B12" s="23">
        <f>IF(B68="Work",1,0)+IF(B96="Work",1,0)+IF(B124="Work",1,0)+IF(B152="Work",1,0)+IF(B180="Work",1,0)</f>
        <v/>
      </c>
      <c r="C12" s="23">
        <f>IF(C68="Work",1,0)+IF(C96="Work",1,0)+IF(C124="Work",1,0)+IF(C152="Work",1,0)+IF(C180="Work",1,0)</f>
        <v/>
      </c>
      <c r="D12" s="23">
        <f>IF(D68="Work",1,0)+IF(D96="Work",1,0)+IF(D124="Work",1,0)+IF(D152="Work",1,0)+IF(D180="Work",1,0)</f>
        <v/>
      </c>
      <c r="E12" s="23">
        <f>IF(E68="Work",1,0)+IF(E96="Work",1,0)+IF(E124="Work",1,0)+IF(E152="Work",1,0)+IF(E180="Work",1,0)</f>
        <v/>
      </c>
      <c r="F12" s="23">
        <f>IF(F68="Work",1,0)+IF(F96="Work",1,0)+IF(F124="Work",1,0)+IF(F152="Work",1,0)+IF(F180="Work",1,0)</f>
        <v/>
      </c>
      <c r="G12" s="23">
        <f>IF(G68="Work",1,0)+IF(G96="Work",1,0)+IF(G124="Work",1,0)+IF(G152="Work",1,0)+IF(G180="Work",1,0)</f>
        <v/>
      </c>
      <c r="H12" s="23">
        <f>IF(H68="Work",1,0)+IF(H96="Work",1,0)+IF(H124="Work",1,0)+IF(H152="Work",1,0)+IF(H180="Work",1,0)</f>
        <v/>
      </c>
      <c r="Z12">
        <f>MAX('設定 Settings'!$B$17,IF(AND(OR('設定 Settings'!$A$21="全部",AND('設定 Settings'!$A$21="平日",NOT(OR(B$4="星期六",B$4="星期日"))),AND('設定 Settings'!$A$21="週末",OR(B$4="星期六",B$4="星期日")),'設定 Settings'!$A$21=B$4),Lists!$C$9&gt;='設定 Settings'!$B$21,Lists!$C$9&lt;'設定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Settings'!$A$22=B$4),Lists!$C$9&gt;='設定 Settings'!$B$22,Lists!$C$9&lt;'設定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Settings'!$A$23=B$4),Lists!$C$9&gt;='設定 Settings'!$B$23,Lists!$C$9&lt;'設定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Settings'!$A$24=B$4),Lists!$C$9&gt;='設定 Settings'!$B$24,Lists!$C$9&lt;'設定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Settings'!$A$25=B$4),Lists!$C$9&gt;='設定 Settings'!$B$25,Lists!$C$9&lt;'設定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Settings'!$A$26=B$4),Lists!$C$9&gt;='設定 Settings'!$B$26,Lists!$C$9&lt;'設定 Settings'!$C$26),'設定 Settings'!$D$26,0))</f>
        <v/>
      </c>
      <c r="AA12">
        <f>MAX('設定 Settings'!$B$17,IF(AND(OR('設定 Settings'!$A$21="全部",AND('設定 Settings'!$A$21="平日",NOT(OR(C$4="星期六",C$4="星期日"))),AND('設定 Settings'!$A$21="週末",OR(C$4="星期六",C$4="星期日")),'設定 Settings'!$A$21=C$4),Lists!$C$9&gt;='設定 Settings'!$B$21,Lists!$C$9&lt;'設定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Settings'!$A$22=C$4),Lists!$C$9&gt;='設定 Settings'!$B$22,Lists!$C$9&lt;'設定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Settings'!$A$23=C$4),Lists!$C$9&gt;='設定 Settings'!$B$23,Lists!$C$9&lt;'設定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Settings'!$A$24=C$4),Lists!$C$9&gt;='設定 Settings'!$B$24,Lists!$C$9&lt;'設定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Settings'!$A$25=C$4),Lists!$C$9&gt;='設定 Settings'!$B$25,Lists!$C$9&lt;'設定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Settings'!$A$26=C$4),Lists!$C$9&gt;='設定 Settings'!$B$26,Lists!$C$9&lt;'設定 Settings'!$C$26),'設定 Settings'!$D$26,0))</f>
        <v/>
      </c>
      <c r="AB12">
        <f>MAX('設定 Settings'!$B$17,IF(AND(OR('設定 Settings'!$A$21="全部",AND('設定 Settings'!$A$21="平日",NOT(OR(D$4="星期六",D$4="星期日"))),AND('設定 Settings'!$A$21="週末",OR(D$4="星期六",D$4="星期日")),'設定 Settings'!$A$21=D$4),Lists!$C$9&gt;='設定 Settings'!$B$21,Lists!$C$9&lt;'設定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Settings'!$A$22=D$4),Lists!$C$9&gt;='設定 Settings'!$B$22,Lists!$C$9&lt;'設定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Settings'!$A$23=D$4),Lists!$C$9&gt;='設定 Settings'!$B$23,Lists!$C$9&lt;'設定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Settings'!$A$24=D$4),Lists!$C$9&gt;='設定 Settings'!$B$24,Lists!$C$9&lt;'設定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Settings'!$A$25=D$4),Lists!$C$9&gt;='設定 Settings'!$B$25,Lists!$C$9&lt;'設定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Settings'!$A$26=D$4),Lists!$C$9&gt;='設定 Settings'!$B$26,Lists!$C$9&lt;'設定 Settings'!$C$26),'設定 Settings'!$D$26,0))</f>
        <v/>
      </c>
      <c r="AC12">
        <f>MAX('設定 Settings'!$B$17,IF(AND(OR('設定 Settings'!$A$21="全部",AND('設定 Settings'!$A$21="平日",NOT(OR(E$4="星期六",E$4="星期日"))),AND('設定 Settings'!$A$21="週末",OR(E$4="星期六",E$4="星期日")),'設定 Settings'!$A$21=E$4),Lists!$C$9&gt;='設定 Settings'!$B$21,Lists!$C$9&lt;'設定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Settings'!$A$22=E$4),Lists!$C$9&gt;='設定 Settings'!$B$22,Lists!$C$9&lt;'設定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Settings'!$A$23=E$4),Lists!$C$9&gt;='設定 Settings'!$B$23,Lists!$C$9&lt;'設定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Settings'!$A$24=E$4),Lists!$C$9&gt;='設定 Settings'!$B$24,Lists!$C$9&lt;'設定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Settings'!$A$25=E$4),Lists!$C$9&gt;='設定 Settings'!$B$25,Lists!$C$9&lt;'設定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Settings'!$A$26=E$4),Lists!$C$9&gt;='設定 Settings'!$B$26,Lists!$C$9&lt;'設定 Settings'!$C$26),'設定 Settings'!$D$26,0))</f>
        <v/>
      </c>
      <c r="AD12">
        <f>MAX('設定 Settings'!$B$17,IF(AND(OR('設定 Settings'!$A$21="全部",AND('設定 Settings'!$A$21="平日",NOT(OR(F$4="星期六",F$4="星期日"))),AND('設定 Settings'!$A$21="週末",OR(F$4="星期六",F$4="星期日")),'設定 Settings'!$A$21=F$4),Lists!$C$9&gt;='設定 Settings'!$B$21,Lists!$C$9&lt;'設定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Settings'!$A$22=F$4),Lists!$C$9&gt;='設定 Settings'!$B$22,Lists!$C$9&lt;'設定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Settings'!$A$23=F$4),Lists!$C$9&gt;='設定 Settings'!$B$23,Lists!$C$9&lt;'設定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Settings'!$A$24=F$4),Lists!$C$9&gt;='設定 Settings'!$B$24,Lists!$C$9&lt;'設定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Settings'!$A$25=F$4),Lists!$C$9&gt;='設定 Settings'!$B$25,Lists!$C$9&lt;'設定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Settings'!$A$26=F$4),Lists!$C$9&gt;='設定 Settings'!$B$26,Lists!$C$9&lt;'設定 Settings'!$C$26),'設定 Settings'!$D$26,0))</f>
        <v/>
      </c>
      <c r="AE12">
        <f>MAX('設定 Settings'!$B$17,IF(AND(OR('設定 Settings'!$A$21="全部",AND('設定 Settings'!$A$21="平日",NOT(OR(G$4="星期六",G$4="星期日"))),AND('設定 Settings'!$A$21="週末",OR(G$4="星期六",G$4="星期日")),'設定 Settings'!$A$21=G$4),Lists!$C$9&gt;='設定 Settings'!$B$21,Lists!$C$9&lt;'設定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Settings'!$A$22=G$4),Lists!$C$9&gt;='設定 Settings'!$B$22,Lists!$C$9&lt;'設定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Settings'!$A$23=G$4),Lists!$C$9&gt;='設定 Settings'!$B$23,Lists!$C$9&lt;'設定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Settings'!$A$24=G$4),Lists!$C$9&gt;='設定 Settings'!$B$24,Lists!$C$9&lt;'設定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Settings'!$A$25=G$4),Lists!$C$9&gt;='設定 Settings'!$B$25,Lists!$C$9&lt;'設定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Settings'!$A$26=G$4),Lists!$C$9&gt;='設定 Settings'!$B$26,Lists!$C$9&lt;'設定 Settings'!$C$26),'設定 Settings'!$D$26,0))</f>
        <v/>
      </c>
      <c r="AF12">
        <f>MAX('設定 Settings'!$B$17,IF(AND(OR('設定 Settings'!$A$21="全部",AND('設定 Settings'!$A$21="平日",NOT(OR(H$4="星期六",H$4="星期日"))),AND('設定 Settings'!$A$21="週末",OR(H$4="星期六",H$4="星期日")),'設定 Settings'!$A$21=H$4),Lists!$C$9&gt;='設定 Settings'!$B$21,Lists!$C$9&lt;'設定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Settings'!$A$22=H$4),Lists!$C$9&gt;='設定 Settings'!$B$22,Lists!$C$9&lt;'設定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Settings'!$A$23=H$4),Lists!$C$9&gt;='設定 Settings'!$B$23,Lists!$C$9&lt;'設定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Settings'!$A$24=H$4),Lists!$C$9&gt;='設定 Settings'!$B$24,Lists!$C$9&lt;'設定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Settings'!$A$25=H$4),Lists!$C$9&gt;='設定 Settings'!$B$25,Lists!$C$9&lt;'設定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Settings'!$A$26=H$4),Lists!$C$9&gt;='設定 Settings'!$B$26,Lists!$C$9&lt;'設定 Settings'!$C$26),'設定 Settings'!$D$26,0))</f>
        <v/>
      </c>
    </row>
    <row r="13">
      <c r="A13" s="22" t="inlineStr">
        <is>
          <t>1:45pm-2:15pm</t>
        </is>
      </c>
      <c r="B13" s="23">
        <f>IF(B69="Work",1,0)+IF(B97="Work",1,0)+IF(B125="Work",1,0)+IF(B153="Work",1,0)+IF(B181="Work",1,0)</f>
        <v/>
      </c>
      <c r="C13" s="23">
        <f>IF(C69="Work",1,0)+IF(C97="Work",1,0)+IF(C125="Work",1,0)+IF(C153="Work",1,0)+IF(C181="Work",1,0)</f>
        <v/>
      </c>
      <c r="D13" s="23">
        <f>IF(D69="Work",1,0)+IF(D97="Work",1,0)+IF(D125="Work",1,0)+IF(D153="Work",1,0)+IF(D181="Work",1,0)</f>
        <v/>
      </c>
      <c r="E13" s="23">
        <f>IF(E69="Work",1,0)+IF(E97="Work",1,0)+IF(E125="Work",1,0)+IF(E153="Work",1,0)+IF(E181="Work",1,0)</f>
        <v/>
      </c>
      <c r="F13" s="23">
        <f>IF(F69="Work",1,0)+IF(F97="Work",1,0)+IF(F125="Work",1,0)+IF(F153="Work",1,0)+IF(F181="Work",1,0)</f>
        <v/>
      </c>
      <c r="G13" s="23">
        <f>IF(G69="Work",1,0)+IF(G97="Work",1,0)+IF(G125="Work",1,0)+IF(G153="Work",1,0)+IF(G181="Work",1,0)</f>
        <v/>
      </c>
      <c r="H13" s="23">
        <f>IF(H69="Work",1,0)+IF(H97="Work",1,0)+IF(H125="Work",1,0)+IF(H153="Work",1,0)+IF(H181="Work",1,0)</f>
        <v/>
      </c>
      <c r="Z13">
        <f>MAX('設定 Settings'!$B$17,IF(AND(OR('設定 Settings'!$A$21="全部",AND('設定 Settings'!$A$21="平日",NOT(OR(B$4="星期六",B$4="星期日"))),AND('設定 Settings'!$A$21="週末",OR(B$4="星期六",B$4="星期日")),'設定 Settings'!$A$21=B$4),Lists!$C$10&gt;='設定 Settings'!$B$21,Lists!$C$10&lt;'設定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Settings'!$A$22=B$4),Lists!$C$10&gt;='設定 Settings'!$B$22,Lists!$C$10&lt;'設定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Settings'!$A$23=B$4),Lists!$C$10&gt;='設定 Settings'!$B$23,Lists!$C$10&lt;'設定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Settings'!$A$24=B$4),Lists!$C$10&gt;='設定 Settings'!$B$24,Lists!$C$10&lt;'設定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Settings'!$A$25=B$4),Lists!$C$10&gt;='設定 Settings'!$B$25,Lists!$C$10&lt;'設定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Settings'!$A$26=B$4),Lists!$C$10&gt;='設定 Settings'!$B$26,Lists!$C$10&lt;'設定 Settings'!$C$26),'設定 Settings'!$D$26,0))</f>
        <v/>
      </c>
      <c r="AA13">
        <f>MAX('設定 Settings'!$B$17,IF(AND(OR('設定 Settings'!$A$21="全部",AND('設定 Settings'!$A$21="平日",NOT(OR(C$4="星期六",C$4="星期日"))),AND('設定 Settings'!$A$21="週末",OR(C$4="星期六",C$4="星期日")),'設定 Settings'!$A$21=C$4),Lists!$C$10&gt;='設定 Settings'!$B$21,Lists!$C$10&lt;'設定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Settings'!$A$22=C$4),Lists!$C$10&gt;='設定 Settings'!$B$22,Lists!$C$10&lt;'設定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Settings'!$A$23=C$4),Lists!$C$10&gt;='設定 Settings'!$B$23,Lists!$C$10&lt;'設定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Settings'!$A$24=C$4),Lists!$C$10&gt;='設定 Settings'!$B$24,Lists!$C$10&lt;'設定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Settings'!$A$25=C$4),Lists!$C$10&gt;='設定 Settings'!$B$25,Lists!$C$10&lt;'設定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Settings'!$A$26=C$4),Lists!$C$10&gt;='設定 Settings'!$B$26,Lists!$C$10&lt;'設定 Settings'!$C$26),'設定 Settings'!$D$26,0))</f>
        <v/>
      </c>
      <c r="AB13">
        <f>MAX('設定 Settings'!$B$17,IF(AND(OR('設定 Settings'!$A$21="全部",AND('設定 Settings'!$A$21="平日",NOT(OR(D$4="星期六",D$4="星期日"))),AND('設定 Settings'!$A$21="週末",OR(D$4="星期六",D$4="星期日")),'設定 Settings'!$A$21=D$4),Lists!$C$10&gt;='設定 Settings'!$B$21,Lists!$C$10&lt;'設定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Settings'!$A$22=D$4),Lists!$C$10&gt;='設定 Settings'!$B$22,Lists!$C$10&lt;'設定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Settings'!$A$23=D$4),Lists!$C$10&gt;='設定 Settings'!$B$23,Lists!$C$10&lt;'設定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Settings'!$A$24=D$4),Lists!$C$10&gt;='設定 Settings'!$B$24,Lists!$C$10&lt;'設定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Settings'!$A$25=D$4),Lists!$C$10&gt;='設定 Settings'!$B$25,Lists!$C$10&lt;'設定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Settings'!$A$26=D$4),Lists!$C$10&gt;='設定 Settings'!$B$26,Lists!$C$10&lt;'設定 Settings'!$C$26),'設定 Settings'!$D$26,0))</f>
        <v/>
      </c>
      <c r="AC13">
        <f>MAX('設定 Settings'!$B$17,IF(AND(OR('設定 Settings'!$A$21="全部",AND('設定 Settings'!$A$21="平日",NOT(OR(E$4="星期六",E$4="星期日"))),AND('設定 Settings'!$A$21="週末",OR(E$4="星期六",E$4="星期日")),'設定 Settings'!$A$21=E$4),Lists!$C$10&gt;='設定 Settings'!$B$21,Lists!$C$10&lt;'設定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Settings'!$A$22=E$4),Lists!$C$10&gt;='設定 Settings'!$B$22,Lists!$C$10&lt;'設定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Settings'!$A$23=E$4),Lists!$C$10&gt;='設定 Settings'!$B$23,Lists!$C$10&lt;'設定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Settings'!$A$24=E$4),Lists!$C$10&gt;='設定 Settings'!$B$24,Lists!$C$10&lt;'設定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Settings'!$A$25=E$4),Lists!$C$10&gt;='設定 Settings'!$B$25,Lists!$C$10&lt;'設定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Settings'!$A$26=E$4),Lists!$C$10&gt;='設定 Settings'!$B$26,Lists!$C$10&lt;'設定 Settings'!$C$26),'設定 Settings'!$D$26,0))</f>
        <v/>
      </c>
      <c r="AD13">
        <f>MAX('設定 Settings'!$B$17,IF(AND(OR('設定 Settings'!$A$21="全部",AND('設定 Settings'!$A$21="平日",NOT(OR(F$4="星期六",F$4="星期日"))),AND('設定 Settings'!$A$21="週末",OR(F$4="星期六",F$4="星期日")),'設定 Settings'!$A$21=F$4),Lists!$C$10&gt;='設定 Settings'!$B$21,Lists!$C$10&lt;'設定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Settings'!$A$22=F$4),Lists!$C$10&gt;='設定 Settings'!$B$22,Lists!$C$10&lt;'設定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Settings'!$A$23=F$4),Lists!$C$10&gt;='設定 Settings'!$B$23,Lists!$C$10&lt;'設定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Settings'!$A$24=F$4),Lists!$C$10&gt;='設定 Settings'!$B$24,Lists!$C$10&lt;'設定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Settings'!$A$25=F$4),Lists!$C$10&gt;='設定 Settings'!$B$25,Lists!$C$10&lt;'設定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Settings'!$A$26=F$4),Lists!$C$10&gt;='設定 Settings'!$B$26,Lists!$C$10&lt;'設定 Settings'!$C$26),'設定 Settings'!$D$26,0))</f>
        <v/>
      </c>
      <c r="AE13">
        <f>MAX('設定 Settings'!$B$17,IF(AND(OR('設定 Settings'!$A$21="全部",AND('設定 Settings'!$A$21="平日",NOT(OR(G$4="星期六",G$4="星期日"))),AND('設定 Settings'!$A$21="週末",OR(G$4="星期六",G$4="星期日")),'設定 Settings'!$A$21=G$4),Lists!$C$10&gt;='設定 Settings'!$B$21,Lists!$C$10&lt;'設定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Settings'!$A$22=G$4),Lists!$C$10&gt;='設定 Settings'!$B$22,Lists!$C$10&lt;'設定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Settings'!$A$23=G$4),Lists!$C$10&gt;='設定 Settings'!$B$23,Lists!$C$10&lt;'設定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Settings'!$A$24=G$4),Lists!$C$10&gt;='設定 Settings'!$B$24,Lists!$C$10&lt;'設定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Settings'!$A$25=G$4),Lists!$C$10&gt;='設定 Settings'!$B$25,Lists!$C$10&lt;'設定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Settings'!$A$26=G$4),Lists!$C$10&gt;='設定 Settings'!$B$26,Lists!$C$10&lt;'設定 Settings'!$C$26),'設定 Settings'!$D$26,0))</f>
        <v/>
      </c>
      <c r="AF13">
        <f>MAX('設定 Settings'!$B$17,IF(AND(OR('設定 Settings'!$A$21="全部",AND('設定 Settings'!$A$21="平日",NOT(OR(H$4="星期六",H$4="星期日"))),AND('設定 Settings'!$A$21="週末",OR(H$4="星期六",H$4="星期日")),'設定 Settings'!$A$21=H$4),Lists!$C$10&gt;='設定 Settings'!$B$21,Lists!$C$10&lt;'設定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Settings'!$A$22=H$4),Lists!$C$10&gt;='設定 Settings'!$B$22,Lists!$C$10&lt;'設定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Settings'!$A$23=H$4),Lists!$C$10&gt;='設定 Settings'!$B$23,Lists!$C$10&lt;'設定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Settings'!$A$24=H$4),Lists!$C$10&gt;='設定 Settings'!$B$24,Lists!$C$10&lt;'設定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Settings'!$A$25=H$4),Lists!$C$10&gt;='設定 Settings'!$B$25,Lists!$C$10&lt;'設定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Settings'!$A$26=H$4),Lists!$C$10&gt;='設定 Settings'!$B$26,Lists!$C$10&lt;'設定 Settings'!$C$26),'設定 Settings'!$D$26,0))</f>
        <v/>
      </c>
    </row>
    <row r="14">
      <c r="A14" s="22" t="inlineStr">
        <is>
          <t>2:15pm-2:45pm</t>
        </is>
      </c>
      <c r="B14" s="23">
        <f>IF(B70="Work",1,0)+IF(B98="Work",1,0)+IF(B126="Work",1,0)+IF(B154="Work",1,0)+IF(B182="Work",1,0)</f>
        <v/>
      </c>
      <c r="C14" s="23">
        <f>IF(C70="Work",1,0)+IF(C98="Work",1,0)+IF(C126="Work",1,0)+IF(C154="Work",1,0)+IF(C182="Work",1,0)</f>
        <v/>
      </c>
      <c r="D14" s="23">
        <f>IF(D70="Work",1,0)+IF(D98="Work",1,0)+IF(D126="Work",1,0)+IF(D154="Work",1,0)+IF(D182="Work",1,0)</f>
        <v/>
      </c>
      <c r="E14" s="23">
        <f>IF(E70="Work",1,0)+IF(E98="Work",1,0)+IF(E126="Work",1,0)+IF(E154="Work",1,0)+IF(E182="Work",1,0)</f>
        <v/>
      </c>
      <c r="F14" s="23">
        <f>IF(F70="Work",1,0)+IF(F98="Work",1,0)+IF(F126="Work",1,0)+IF(F154="Work",1,0)+IF(F182="Work",1,0)</f>
        <v/>
      </c>
      <c r="G14" s="23">
        <f>IF(G70="Work",1,0)+IF(G98="Work",1,0)+IF(G126="Work",1,0)+IF(G154="Work",1,0)+IF(G182="Work",1,0)</f>
        <v/>
      </c>
      <c r="H14" s="23">
        <f>IF(H70="Work",1,0)+IF(H98="Work",1,0)+IF(H126="Work",1,0)+IF(H154="Work",1,0)+IF(H182="Work",1,0)</f>
        <v/>
      </c>
      <c r="Z14">
        <f>MAX('設定 Settings'!$B$17,IF(AND(OR('設定 Settings'!$A$21="全部",AND('設定 Settings'!$A$21="平日",NOT(OR(B$4="星期六",B$4="星期日"))),AND('設定 Settings'!$A$21="週末",OR(B$4="星期六",B$4="星期日")),'設定 Settings'!$A$21=B$4),Lists!$C$11&gt;='設定 Settings'!$B$21,Lists!$C$11&lt;'設定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Settings'!$A$22=B$4),Lists!$C$11&gt;='設定 Settings'!$B$22,Lists!$C$11&lt;'設定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Settings'!$A$23=B$4),Lists!$C$11&gt;='設定 Settings'!$B$23,Lists!$C$11&lt;'設定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Settings'!$A$24=B$4),Lists!$C$11&gt;='設定 Settings'!$B$24,Lists!$C$11&lt;'設定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Settings'!$A$25=B$4),Lists!$C$11&gt;='設定 Settings'!$B$25,Lists!$C$11&lt;'設定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Settings'!$A$26=B$4),Lists!$C$11&gt;='設定 Settings'!$B$26,Lists!$C$11&lt;'設定 Settings'!$C$26),'設定 Settings'!$D$26,0))</f>
        <v/>
      </c>
      <c r="AA14">
        <f>MAX('設定 Settings'!$B$17,IF(AND(OR('設定 Settings'!$A$21="全部",AND('設定 Settings'!$A$21="平日",NOT(OR(C$4="星期六",C$4="星期日"))),AND('設定 Settings'!$A$21="週末",OR(C$4="星期六",C$4="星期日")),'設定 Settings'!$A$21=C$4),Lists!$C$11&gt;='設定 Settings'!$B$21,Lists!$C$11&lt;'設定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Settings'!$A$22=C$4),Lists!$C$11&gt;='設定 Settings'!$B$22,Lists!$C$11&lt;'設定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Settings'!$A$23=C$4),Lists!$C$11&gt;='設定 Settings'!$B$23,Lists!$C$11&lt;'設定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Settings'!$A$24=C$4),Lists!$C$11&gt;='設定 Settings'!$B$24,Lists!$C$11&lt;'設定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Settings'!$A$25=C$4),Lists!$C$11&gt;='設定 Settings'!$B$25,Lists!$C$11&lt;'設定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Settings'!$A$26=C$4),Lists!$C$11&gt;='設定 Settings'!$B$26,Lists!$C$11&lt;'設定 Settings'!$C$26),'設定 Settings'!$D$26,0))</f>
        <v/>
      </c>
      <c r="AB14">
        <f>MAX('設定 Settings'!$B$17,IF(AND(OR('設定 Settings'!$A$21="全部",AND('設定 Settings'!$A$21="平日",NOT(OR(D$4="星期六",D$4="星期日"))),AND('設定 Settings'!$A$21="週末",OR(D$4="星期六",D$4="星期日")),'設定 Settings'!$A$21=D$4),Lists!$C$11&gt;='設定 Settings'!$B$21,Lists!$C$11&lt;'設定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Settings'!$A$22=D$4),Lists!$C$11&gt;='設定 Settings'!$B$22,Lists!$C$11&lt;'設定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Settings'!$A$23=D$4),Lists!$C$11&gt;='設定 Settings'!$B$23,Lists!$C$11&lt;'設定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Settings'!$A$24=D$4),Lists!$C$11&gt;='設定 Settings'!$B$24,Lists!$C$11&lt;'設定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Settings'!$A$25=D$4),Lists!$C$11&gt;='設定 Settings'!$B$25,Lists!$C$11&lt;'設定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Settings'!$A$26=D$4),Lists!$C$11&gt;='設定 Settings'!$B$26,Lists!$C$11&lt;'設定 Settings'!$C$26),'設定 Settings'!$D$26,0))</f>
        <v/>
      </c>
      <c r="AC14">
        <f>MAX('設定 Settings'!$B$17,IF(AND(OR('設定 Settings'!$A$21="全部",AND('設定 Settings'!$A$21="平日",NOT(OR(E$4="星期六",E$4="星期日"))),AND('設定 Settings'!$A$21="週末",OR(E$4="星期六",E$4="星期日")),'設定 Settings'!$A$21=E$4),Lists!$C$11&gt;='設定 Settings'!$B$21,Lists!$C$11&lt;'設定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Settings'!$A$22=E$4),Lists!$C$11&gt;='設定 Settings'!$B$22,Lists!$C$11&lt;'設定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Settings'!$A$23=E$4),Lists!$C$11&gt;='設定 Settings'!$B$23,Lists!$C$11&lt;'設定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Settings'!$A$24=E$4),Lists!$C$11&gt;='設定 Settings'!$B$24,Lists!$C$11&lt;'設定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Settings'!$A$25=E$4),Lists!$C$11&gt;='設定 Settings'!$B$25,Lists!$C$11&lt;'設定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Settings'!$A$26=E$4),Lists!$C$11&gt;='設定 Settings'!$B$26,Lists!$C$11&lt;'設定 Settings'!$C$26),'設定 Settings'!$D$26,0))</f>
        <v/>
      </c>
      <c r="AD14">
        <f>MAX('設定 Settings'!$B$17,IF(AND(OR('設定 Settings'!$A$21="全部",AND('設定 Settings'!$A$21="平日",NOT(OR(F$4="星期六",F$4="星期日"))),AND('設定 Settings'!$A$21="週末",OR(F$4="星期六",F$4="星期日")),'設定 Settings'!$A$21=F$4),Lists!$C$11&gt;='設定 Settings'!$B$21,Lists!$C$11&lt;'設定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Settings'!$A$22=F$4),Lists!$C$11&gt;='設定 Settings'!$B$22,Lists!$C$11&lt;'設定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Settings'!$A$23=F$4),Lists!$C$11&gt;='設定 Settings'!$B$23,Lists!$C$11&lt;'設定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Settings'!$A$24=F$4),Lists!$C$11&gt;='設定 Settings'!$B$24,Lists!$C$11&lt;'設定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Settings'!$A$25=F$4),Lists!$C$11&gt;='設定 Settings'!$B$25,Lists!$C$11&lt;'設定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Settings'!$A$26=F$4),Lists!$C$11&gt;='設定 Settings'!$B$26,Lists!$C$11&lt;'設定 Settings'!$C$26),'設定 Settings'!$D$26,0))</f>
        <v/>
      </c>
      <c r="AE14">
        <f>MAX('設定 Settings'!$B$17,IF(AND(OR('設定 Settings'!$A$21="全部",AND('設定 Settings'!$A$21="平日",NOT(OR(G$4="星期六",G$4="星期日"))),AND('設定 Settings'!$A$21="週末",OR(G$4="星期六",G$4="星期日")),'設定 Settings'!$A$21=G$4),Lists!$C$11&gt;='設定 Settings'!$B$21,Lists!$C$11&lt;'設定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Settings'!$A$22=G$4),Lists!$C$11&gt;='設定 Settings'!$B$22,Lists!$C$11&lt;'設定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Settings'!$A$23=G$4),Lists!$C$11&gt;='設定 Settings'!$B$23,Lists!$C$11&lt;'設定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Settings'!$A$24=G$4),Lists!$C$11&gt;='設定 Settings'!$B$24,Lists!$C$11&lt;'設定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Settings'!$A$25=G$4),Lists!$C$11&gt;='設定 Settings'!$B$25,Lists!$C$11&lt;'設定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Settings'!$A$26=G$4),Lists!$C$11&gt;='設定 Settings'!$B$26,Lists!$C$11&lt;'設定 Settings'!$C$26),'設定 Settings'!$D$26,0))</f>
        <v/>
      </c>
      <c r="AF14">
        <f>MAX('設定 Settings'!$B$17,IF(AND(OR('設定 Settings'!$A$21="全部",AND('設定 Settings'!$A$21="平日",NOT(OR(H$4="星期六",H$4="星期日"))),AND('設定 Settings'!$A$21="週末",OR(H$4="星期六",H$4="星期日")),'設定 Settings'!$A$21=H$4),Lists!$C$11&gt;='設定 Settings'!$B$21,Lists!$C$11&lt;'設定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Settings'!$A$22=H$4),Lists!$C$11&gt;='設定 Settings'!$B$22,Lists!$C$11&lt;'設定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Settings'!$A$23=H$4),Lists!$C$11&gt;='設定 Settings'!$B$23,Lists!$C$11&lt;'設定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Settings'!$A$24=H$4),Lists!$C$11&gt;='設定 Settings'!$B$24,Lists!$C$11&lt;'設定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Settings'!$A$25=H$4),Lists!$C$11&gt;='設定 Settings'!$B$25,Lists!$C$11&lt;'設定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Settings'!$A$26=H$4),Lists!$C$11&gt;='設定 Settings'!$B$26,Lists!$C$11&lt;'設定 Settings'!$C$26),'設定 Settings'!$D$26,0))</f>
        <v/>
      </c>
    </row>
    <row r="15">
      <c r="A15" s="22" t="inlineStr">
        <is>
          <t>2:45pm-3:15pm</t>
        </is>
      </c>
      <c r="B15" s="23">
        <f>IF(B71="Work",1,0)+IF(B99="Work",1,0)+IF(B127="Work",1,0)+IF(B155="Work",1,0)+IF(B183="Work",1,0)</f>
        <v/>
      </c>
      <c r="C15" s="23">
        <f>IF(C71="Work",1,0)+IF(C99="Work",1,0)+IF(C127="Work",1,0)+IF(C155="Work",1,0)+IF(C183="Work",1,0)</f>
        <v/>
      </c>
      <c r="D15" s="23">
        <f>IF(D71="Work",1,0)+IF(D99="Work",1,0)+IF(D127="Work",1,0)+IF(D155="Work",1,0)+IF(D183="Work",1,0)</f>
        <v/>
      </c>
      <c r="E15" s="23">
        <f>IF(E71="Work",1,0)+IF(E99="Work",1,0)+IF(E127="Work",1,0)+IF(E155="Work",1,0)+IF(E183="Work",1,0)</f>
        <v/>
      </c>
      <c r="F15" s="23">
        <f>IF(F71="Work",1,0)+IF(F99="Work",1,0)+IF(F127="Work",1,0)+IF(F155="Work",1,0)+IF(F183="Work",1,0)</f>
        <v/>
      </c>
      <c r="G15" s="23">
        <f>IF(G71="Work",1,0)+IF(G99="Work",1,0)+IF(G127="Work",1,0)+IF(G155="Work",1,0)+IF(G183="Work",1,0)</f>
        <v/>
      </c>
      <c r="H15" s="23">
        <f>IF(H71="Work",1,0)+IF(H99="Work",1,0)+IF(H127="Work",1,0)+IF(H155="Work",1,0)+IF(H183="Work",1,0)</f>
        <v/>
      </c>
      <c r="Z15">
        <f>MAX('設定 Settings'!$B$17,IF(AND(OR('設定 Settings'!$A$21="全部",AND('設定 Settings'!$A$21="平日",NOT(OR(B$4="星期六",B$4="星期日"))),AND('設定 Settings'!$A$21="週末",OR(B$4="星期六",B$4="星期日")),'設定 Settings'!$A$21=B$4),Lists!$C$12&gt;='設定 Settings'!$B$21,Lists!$C$12&lt;'設定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Settings'!$A$22=B$4),Lists!$C$12&gt;='設定 Settings'!$B$22,Lists!$C$12&lt;'設定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Settings'!$A$23=B$4),Lists!$C$12&gt;='設定 Settings'!$B$23,Lists!$C$12&lt;'設定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Settings'!$A$24=B$4),Lists!$C$12&gt;='設定 Settings'!$B$24,Lists!$C$12&lt;'設定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Settings'!$A$25=B$4),Lists!$C$12&gt;='設定 Settings'!$B$25,Lists!$C$12&lt;'設定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Settings'!$A$26=B$4),Lists!$C$12&gt;='設定 Settings'!$B$26,Lists!$C$12&lt;'設定 Settings'!$C$26),'設定 Settings'!$D$26,0))</f>
        <v/>
      </c>
      <c r="AA15">
        <f>MAX('設定 Settings'!$B$17,IF(AND(OR('設定 Settings'!$A$21="全部",AND('設定 Settings'!$A$21="平日",NOT(OR(C$4="星期六",C$4="星期日"))),AND('設定 Settings'!$A$21="週末",OR(C$4="星期六",C$4="星期日")),'設定 Settings'!$A$21=C$4),Lists!$C$12&gt;='設定 Settings'!$B$21,Lists!$C$12&lt;'設定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Settings'!$A$22=C$4),Lists!$C$12&gt;='設定 Settings'!$B$22,Lists!$C$12&lt;'設定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Settings'!$A$23=C$4),Lists!$C$12&gt;='設定 Settings'!$B$23,Lists!$C$12&lt;'設定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Settings'!$A$24=C$4),Lists!$C$12&gt;='設定 Settings'!$B$24,Lists!$C$12&lt;'設定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Settings'!$A$25=C$4),Lists!$C$12&gt;='設定 Settings'!$B$25,Lists!$C$12&lt;'設定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Settings'!$A$26=C$4),Lists!$C$12&gt;='設定 Settings'!$B$26,Lists!$C$12&lt;'設定 Settings'!$C$26),'設定 Settings'!$D$26,0))</f>
        <v/>
      </c>
      <c r="AB15">
        <f>MAX('設定 Settings'!$B$17,IF(AND(OR('設定 Settings'!$A$21="全部",AND('設定 Settings'!$A$21="平日",NOT(OR(D$4="星期六",D$4="星期日"))),AND('設定 Settings'!$A$21="週末",OR(D$4="星期六",D$4="星期日")),'設定 Settings'!$A$21=D$4),Lists!$C$12&gt;='設定 Settings'!$B$21,Lists!$C$12&lt;'設定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Settings'!$A$22=D$4),Lists!$C$12&gt;='設定 Settings'!$B$22,Lists!$C$12&lt;'設定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Settings'!$A$23=D$4),Lists!$C$12&gt;='設定 Settings'!$B$23,Lists!$C$12&lt;'設定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Settings'!$A$24=D$4),Lists!$C$12&gt;='設定 Settings'!$B$24,Lists!$C$12&lt;'設定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Settings'!$A$25=D$4),Lists!$C$12&gt;='設定 Settings'!$B$25,Lists!$C$12&lt;'設定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Settings'!$A$26=D$4),Lists!$C$12&gt;='設定 Settings'!$B$26,Lists!$C$12&lt;'設定 Settings'!$C$26),'設定 Settings'!$D$26,0))</f>
        <v/>
      </c>
      <c r="AC15">
        <f>MAX('設定 Settings'!$B$17,IF(AND(OR('設定 Settings'!$A$21="全部",AND('設定 Settings'!$A$21="平日",NOT(OR(E$4="星期六",E$4="星期日"))),AND('設定 Settings'!$A$21="週末",OR(E$4="星期六",E$4="星期日")),'設定 Settings'!$A$21=E$4),Lists!$C$12&gt;='設定 Settings'!$B$21,Lists!$C$12&lt;'設定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Settings'!$A$22=E$4),Lists!$C$12&gt;='設定 Settings'!$B$22,Lists!$C$12&lt;'設定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Settings'!$A$23=E$4),Lists!$C$12&gt;='設定 Settings'!$B$23,Lists!$C$12&lt;'設定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Settings'!$A$24=E$4),Lists!$C$12&gt;='設定 Settings'!$B$24,Lists!$C$12&lt;'設定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Settings'!$A$25=E$4),Lists!$C$12&gt;='設定 Settings'!$B$25,Lists!$C$12&lt;'設定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Settings'!$A$26=E$4),Lists!$C$12&gt;='設定 Settings'!$B$26,Lists!$C$12&lt;'設定 Settings'!$C$26),'設定 Settings'!$D$26,0))</f>
        <v/>
      </c>
      <c r="AD15">
        <f>MAX('設定 Settings'!$B$17,IF(AND(OR('設定 Settings'!$A$21="全部",AND('設定 Settings'!$A$21="平日",NOT(OR(F$4="星期六",F$4="星期日"))),AND('設定 Settings'!$A$21="週末",OR(F$4="星期六",F$4="星期日")),'設定 Settings'!$A$21=F$4),Lists!$C$12&gt;='設定 Settings'!$B$21,Lists!$C$12&lt;'設定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Settings'!$A$22=F$4),Lists!$C$12&gt;='設定 Settings'!$B$22,Lists!$C$12&lt;'設定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Settings'!$A$23=F$4),Lists!$C$12&gt;='設定 Settings'!$B$23,Lists!$C$12&lt;'設定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Settings'!$A$24=F$4),Lists!$C$12&gt;='設定 Settings'!$B$24,Lists!$C$12&lt;'設定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Settings'!$A$25=F$4),Lists!$C$12&gt;='設定 Settings'!$B$25,Lists!$C$12&lt;'設定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Settings'!$A$26=F$4),Lists!$C$12&gt;='設定 Settings'!$B$26,Lists!$C$12&lt;'設定 Settings'!$C$26),'設定 Settings'!$D$26,0))</f>
        <v/>
      </c>
      <c r="AE15">
        <f>MAX('設定 Settings'!$B$17,IF(AND(OR('設定 Settings'!$A$21="全部",AND('設定 Settings'!$A$21="平日",NOT(OR(G$4="星期六",G$4="星期日"))),AND('設定 Settings'!$A$21="週末",OR(G$4="星期六",G$4="星期日")),'設定 Settings'!$A$21=G$4),Lists!$C$12&gt;='設定 Settings'!$B$21,Lists!$C$12&lt;'設定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Settings'!$A$22=G$4),Lists!$C$12&gt;='設定 Settings'!$B$22,Lists!$C$12&lt;'設定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Settings'!$A$23=G$4),Lists!$C$12&gt;='設定 Settings'!$B$23,Lists!$C$12&lt;'設定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Settings'!$A$24=G$4),Lists!$C$12&gt;='設定 Settings'!$B$24,Lists!$C$12&lt;'設定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Settings'!$A$25=G$4),Lists!$C$12&gt;='設定 Settings'!$B$25,Lists!$C$12&lt;'設定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Settings'!$A$26=G$4),Lists!$C$12&gt;='設定 Settings'!$B$26,Lists!$C$12&lt;'設定 Settings'!$C$26),'設定 Settings'!$D$26,0))</f>
        <v/>
      </c>
      <c r="AF15">
        <f>MAX('設定 Settings'!$B$17,IF(AND(OR('設定 Settings'!$A$21="全部",AND('設定 Settings'!$A$21="平日",NOT(OR(H$4="星期六",H$4="星期日"))),AND('設定 Settings'!$A$21="週末",OR(H$4="星期六",H$4="星期日")),'設定 Settings'!$A$21=H$4),Lists!$C$12&gt;='設定 Settings'!$B$21,Lists!$C$12&lt;'設定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Settings'!$A$22=H$4),Lists!$C$12&gt;='設定 Settings'!$B$22,Lists!$C$12&lt;'設定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Settings'!$A$23=H$4),Lists!$C$12&gt;='設定 Settings'!$B$23,Lists!$C$12&lt;'設定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Settings'!$A$24=H$4),Lists!$C$12&gt;='設定 Settings'!$B$24,Lists!$C$12&lt;'設定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Settings'!$A$25=H$4),Lists!$C$12&gt;='設定 Settings'!$B$25,Lists!$C$12&lt;'設定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Settings'!$A$26=H$4),Lists!$C$12&gt;='設定 Settings'!$B$26,Lists!$C$12&lt;'設定 Settings'!$C$26),'設定 Settings'!$D$26,0))</f>
        <v/>
      </c>
    </row>
    <row r="16">
      <c r="A16" s="22" t="inlineStr">
        <is>
          <t>3:15pm-3:45pm</t>
        </is>
      </c>
      <c r="B16" s="23">
        <f>IF(B72="Work",1,0)+IF(B100="Work",1,0)+IF(B128="Work",1,0)+IF(B156="Work",1,0)+IF(B184="Work",1,0)</f>
        <v/>
      </c>
      <c r="C16" s="23">
        <f>IF(C72="Work",1,0)+IF(C100="Work",1,0)+IF(C128="Work",1,0)+IF(C156="Work",1,0)+IF(C184="Work",1,0)</f>
        <v/>
      </c>
      <c r="D16" s="23">
        <f>IF(D72="Work",1,0)+IF(D100="Work",1,0)+IF(D128="Work",1,0)+IF(D156="Work",1,0)+IF(D184="Work",1,0)</f>
        <v/>
      </c>
      <c r="E16" s="23">
        <f>IF(E72="Work",1,0)+IF(E100="Work",1,0)+IF(E128="Work",1,0)+IF(E156="Work",1,0)+IF(E184="Work",1,0)</f>
        <v/>
      </c>
      <c r="F16" s="23">
        <f>IF(F72="Work",1,0)+IF(F100="Work",1,0)+IF(F128="Work",1,0)+IF(F156="Work",1,0)+IF(F184="Work",1,0)</f>
        <v/>
      </c>
      <c r="G16" s="23">
        <f>IF(G72="Work",1,0)+IF(G100="Work",1,0)+IF(G128="Work",1,0)+IF(G156="Work",1,0)+IF(G184="Work",1,0)</f>
        <v/>
      </c>
      <c r="H16" s="23">
        <f>IF(H72="Work",1,0)+IF(H100="Work",1,0)+IF(H128="Work",1,0)+IF(H156="Work",1,0)+IF(H184="Work",1,0)</f>
        <v/>
      </c>
      <c r="Z16">
        <f>MAX('設定 Settings'!$B$17,IF(AND(OR('設定 Settings'!$A$21="全部",AND('設定 Settings'!$A$21="平日",NOT(OR(B$4="星期六",B$4="星期日"))),AND('設定 Settings'!$A$21="週末",OR(B$4="星期六",B$4="星期日")),'設定 Settings'!$A$21=B$4),Lists!$C$13&gt;='設定 Settings'!$B$21,Lists!$C$13&lt;'設定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Settings'!$A$22=B$4),Lists!$C$13&gt;='設定 Settings'!$B$22,Lists!$C$13&lt;'設定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Settings'!$A$23=B$4),Lists!$C$13&gt;='設定 Settings'!$B$23,Lists!$C$13&lt;'設定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Settings'!$A$24=B$4),Lists!$C$13&gt;='設定 Settings'!$B$24,Lists!$C$13&lt;'設定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Settings'!$A$25=B$4),Lists!$C$13&gt;='設定 Settings'!$B$25,Lists!$C$13&lt;'設定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Settings'!$A$26=B$4),Lists!$C$13&gt;='設定 Settings'!$B$26,Lists!$C$13&lt;'設定 Settings'!$C$26),'設定 Settings'!$D$26,0))</f>
        <v/>
      </c>
      <c r="AA16">
        <f>MAX('設定 Settings'!$B$17,IF(AND(OR('設定 Settings'!$A$21="全部",AND('設定 Settings'!$A$21="平日",NOT(OR(C$4="星期六",C$4="星期日"))),AND('設定 Settings'!$A$21="週末",OR(C$4="星期六",C$4="星期日")),'設定 Settings'!$A$21=C$4),Lists!$C$13&gt;='設定 Settings'!$B$21,Lists!$C$13&lt;'設定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Settings'!$A$22=C$4),Lists!$C$13&gt;='設定 Settings'!$B$22,Lists!$C$13&lt;'設定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Settings'!$A$23=C$4),Lists!$C$13&gt;='設定 Settings'!$B$23,Lists!$C$13&lt;'設定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Settings'!$A$24=C$4),Lists!$C$13&gt;='設定 Settings'!$B$24,Lists!$C$13&lt;'設定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Settings'!$A$25=C$4),Lists!$C$13&gt;='設定 Settings'!$B$25,Lists!$C$13&lt;'設定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Settings'!$A$26=C$4),Lists!$C$13&gt;='設定 Settings'!$B$26,Lists!$C$13&lt;'設定 Settings'!$C$26),'設定 Settings'!$D$26,0))</f>
        <v/>
      </c>
      <c r="AB16">
        <f>MAX('設定 Settings'!$B$17,IF(AND(OR('設定 Settings'!$A$21="全部",AND('設定 Settings'!$A$21="平日",NOT(OR(D$4="星期六",D$4="星期日"))),AND('設定 Settings'!$A$21="週末",OR(D$4="星期六",D$4="星期日")),'設定 Settings'!$A$21=D$4),Lists!$C$13&gt;='設定 Settings'!$B$21,Lists!$C$13&lt;'設定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Settings'!$A$22=D$4),Lists!$C$13&gt;='設定 Settings'!$B$22,Lists!$C$13&lt;'設定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Settings'!$A$23=D$4),Lists!$C$13&gt;='設定 Settings'!$B$23,Lists!$C$13&lt;'設定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Settings'!$A$24=D$4),Lists!$C$13&gt;='設定 Settings'!$B$24,Lists!$C$13&lt;'設定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Settings'!$A$25=D$4),Lists!$C$13&gt;='設定 Settings'!$B$25,Lists!$C$13&lt;'設定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Settings'!$A$26=D$4),Lists!$C$13&gt;='設定 Settings'!$B$26,Lists!$C$13&lt;'設定 Settings'!$C$26),'設定 Settings'!$D$26,0))</f>
        <v/>
      </c>
      <c r="AC16">
        <f>MAX('設定 Settings'!$B$17,IF(AND(OR('設定 Settings'!$A$21="全部",AND('設定 Settings'!$A$21="平日",NOT(OR(E$4="星期六",E$4="星期日"))),AND('設定 Settings'!$A$21="週末",OR(E$4="星期六",E$4="星期日")),'設定 Settings'!$A$21=E$4),Lists!$C$13&gt;='設定 Settings'!$B$21,Lists!$C$13&lt;'設定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Settings'!$A$22=E$4),Lists!$C$13&gt;='設定 Settings'!$B$22,Lists!$C$13&lt;'設定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Settings'!$A$23=E$4),Lists!$C$13&gt;='設定 Settings'!$B$23,Lists!$C$13&lt;'設定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Settings'!$A$24=E$4),Lists!$C$13&gt;='設定 Settings'!$B$24,Lists!$C$13&lt;'設定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Settings'!$A$25=E$4),Lists!$C$13&gt;='設定 Settings'!$B$25,Lists!$C$13&lt;'設定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Settings'!$A$26=E$4),Lists!$C$13&gt;='設定 Settings'!$B$26,Lists!$C$13&lt;'設定 Settings'!$C$26),'設定 Settings'!$D$26,0))</f>
        <v/>
      </c>
      <c r="AD16">
        <f>MAX('設定 Settings'!$B$17,IF(AND(OR('設定 Settings'!$A$21="全部",AND('設定 Settings'!$A$21="平日",NOT(OR(F$4="星期六",F$4="星期日"))),AND('設定 Settings'!$A$21="週末",OR(F$4="星期六",F$4="星期日")),'設定 Settings'!$A$21=F$4),Lists!$C$13&gt;='設定 Settings'!$B$21,Lists!$C$13&lt;'設定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Settings'!$A$22=F$4),Lists!$C$13&gt;='設定 Settings'!$B$22,Lists!$C$13&lt;'設定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Settings'!$A$23=F$4),Lists!$C$13&gt;='設定 Settings'!$B$23,Lists!$C$13&lt;'設定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Settings'!$A$24=F$4),Lists!$C$13&gt;='設定 Settings'!$B$24,Lists!$C$13&lt;'設定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Settings'!$A$25=F$4),Lists!$C$13&gt;='設定 Settings'!$B$25,Lists!$C$13&lt;'設定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Settings'!$A$26=F$4),Lists!$C$13&gt;='設定 Settings'!$B$26,Lists!$C$13&lt;'設定 Settings'!$C$26),'設定 Settings'!$D$26,0))</f>
        <v/>
      </c>
      <c r="AE16">
        <f>MAX('設定 Settings'!$B$17,IF(AND(OR('設定 Settings'!$A$21="全部",AND('設定 Settings'!$A$21="平日",NOT(OR(G$4="星期六",G$4="星期日"))),AND('設定 Settings'!$A$21="週末",OR(G$4="星期六",G$4="星期日")),'設定 Settings'!$A$21=G$4),Lists!$C$13&gt;='設定 Settings'!$B$21,Lists!$C$13&lt;'設定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Settings'!$A$22=G$4),Lists!$C$13&gt;='設定 Settings'!$B$22,Lists!$C$13&lt;'設定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Settings'!$A$23=G$4),Lists!$C$13&gt;='設定 Settings'!$B$23,Lists!$C$13&lt;'設定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Settings'!$A$24=G$4),Lists!$C$13&gt;='設定 Settings'!$B$24,Lists!$C$13&lt;'設定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Settings'!$A$25=G$4),Lists!$C$13&gt;='設定 Settings'!$B$25,Lists!$C$13&lt;'設定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Settings'!$A$26=G$4),Lists!$C$13&gt;='設定 Settings'!$B$26,Lists!$C$13&lt;'設定 Settings'!$C$26),'設定 Settings'!$D$26,0))</f>
        <v/>
      </c>
      <c r="AF16">
        <f>MAX('設定 Settings'!$B$17,IF(AND(OR('設定 Settings'!$A$21="全部",AND('設定 Settings'!$A$21="平日",NOT(OR(H$4="星期六",H$4="星期日"))),AND('設定 Settings'!$A$21="週末",OR(H$4="星期六",H$4="星期日")),'設定 Settings'!$A$21=H$4),Lists!$C$13&gt;='設定 Settings'!$B$21,Lists!$C$13&lt;'設定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Settings'!$A$22=H$4),Lists!$C$13&gt;='設定 Settings'!$B$22,Lists!$C$13&lt;'設定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Settings'!$A$23=H$4),Lists!$C$13&gt;='設定 Settings'!$B$23,Lists!$C$13&lt;'設定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Settings'!$A$24=H$4),Lists!$C$13&gt;='設定 Settings'!$B$24,Lists!$C$13&lt;'設定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Settings'!$A$25=H$4),Lists!$C$13&gt;='設定 Settings'!$B$25,Lists!$C$13&lt;'設定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Settings'!$A$26=H$4),Lists!$C$13&gt;='設定 Settings'!$B$26,Lists!$C$13&lt;'設定 Settings'!$C$26),'設定 Settings'!$D$26,0))</f>
        <v/>
      </c>
    </row>
    <row r="17">
      <c r="A17" s="22" t="inlineStr">
        <is>
          <t>3:45pm-4:15pm</t>
        </is>
      </c>
      <c r="B17" s="23">
        <f>IF(B73="Work",1,0)+IF(B101="Work",1,0)+IF(B129="Work",1,0)+IF(B157="Work",1,0)+IF(B185="Work",1,0)</f>
        <v/>
      </c>
      <c r="C17" s="23">
        <f>IF(C73="Work",1,0)+IF(C101="Work",1,0)+IF(C129="Work",1,0)+IF(C157="Work",1,0)+IF(C185="Work",1,0)</f>
        <v/>
      </c>
      <c r="D17" s="23">
        <f>IF(D73="Work",1,0)+IF(D101="Work",1,0)+IF(D129="Work",1,0)+IF(D157="Work",1,0)+IF(D185="Work",1,0)</f>
        <v/>
      </c>
      <c r="E17" s="23">
        <f>IF(E73="Work",1,0)+IF(E101="Work",1,0)+IF(E129="Work",1,0)+IF(E157="Work",1,0)+IF(E185="Work",1,0)</f>
        <v/>
      </c>
      <c r="F17" s="23">
        <f>IF(F73="Work",1,0)+IF(F101="Work",1,0)+IF(F129="Work",1,0)+IF(F157="Work",1,0)+IF(F185="Work",1,0)</f>
        <v/>
      </c>
      <c r="G17" s="23">
        <f>IF(G73="Work",1,0)+IF(G101="Work",1,0)+IF(G129="Work",1,0)+IF(G157="Work",1,0)+IF(G185="Work",1,0)</f>
        <v/>
      </c>
      <c r="H17" s="23">
        <f>IF(H73="Work",1,0)+IF(H101="Work",1,0)+IF(H129="Work",1,0)+IF(H157="Work",1,0)+IF(H185="Work",1,0)</f>
        <v/>
      </c>
      <c r="Z17">
        <f>MAX('設定 Settings'!$B$17,IF(AND(OR('設定 Settings'!$A$21="全部",AND('設定 Settings'!$A$21="平日",NOT(OR(B$4="星期六",B$4="星期日"))),AND('設定 Settings'!$A$21="週末",OR(B$4="星期六",B$4="星期日")),'設定 Settings'!$A$21=B$4),Lists!$C$14&gt;='設定 Settings'!$B$21,Lists!$C$14&lt;'設定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Settings'!$A$22=B$4),Lists!$C$14&gt;='設定 Settings'!$B$22,Lists!$C$14&lt;'設定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Settings'!$A$23=B$4),Lists!$C$14&gt;='設定 Settings'!$B$23,Lists!$C$14&lt;'設定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Settings'!$A$24=B$4),Lists!$C$14&gt;='設定 Settings'!$B$24,Lists!$C$14&lt;'設定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Settings'!$A$25=B$4),Lists!$C$14&gt;='設定 Settings'!$B$25,Lists!$C$14&lt;'設定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Settings'!$A$26=B$4),Lists!$C$14&gt;='設定 Settings'!$B$26,Lists!$C$14&lt;'設定 Settings'!$C$26),'設定 Settings'!$D$26,0))</f>
        <v/>
      </c>
      <c r="AA17">
        <f>MAX('設定 Settings'!$B$17,IF(AND(OR('設定 Settings'!$A$21="全部",AND('設定 Settings'!$A$21="平日",NOT(OR(C$4="星期六",C$4="星期日"))),AND('設定 Settings'!$A$21="週末",OR(C$4="星期六",C$4="星期日")),'設定 Settings'!$A$21=C$4),Lists!$C$14&gt;='設定 Settings'!$B$21,Lists!$C$14&lt;'設定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Settings'!$A$22=C$4),Lists!$C$14&gt;='設定 Settings'!$B$22,Lists!$C$14&lt;'設定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Settings'!$A$23=C$4),Lists!$C$14&gt;='設定 Settings'!$B$23,Lists!$C$14&lt;'設定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Settings'!$A$24=C$4),Lists!$C$14&gt;='設定 Settings'!$B$24,Lists!$C$14&lt;'設定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Settings'!$A$25=C$4),Lists!$C$14&gt;='設定 Settings'!$B$25,Lists!$C$14&lt;'設定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Settings'!$A$26=C$4),Lists!$C$14&gt;='設定 Settings'!$B$26,Lists!$C$14&lt;'設定 Settings'!$C$26),'設定 Settings'!$D$26,0))</f>
        <v/>
      </c>
      <c r="AB17">
        <f>MAX('設定 Settings'!$B$17,IF(AND(OR('設定 Settings'!$A$21="全部",AND('設定 Settings'!$A$21="平日",NOT(OR(D$4="星期六",D$4="星期日"))),AND('設定 Settings'!$A$21="週末",OR(D$4="星期六",D$4="星期日")),'設定 Settings'!$A$21=D$4),Lists!$C$14&gt;='設定 Settings'!$B$21,Lists!$C$14&lt;'設定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Settings'!$A$22=D$4),Lists!$C$14&gt;='設定 Settings'!$B$22,Lists!$C$14&lt;'設定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Settings'!$A$23=D$4),Lists!$C$14&gt;='設定 Settings'!$B$23,Lists!$C$14&lt;'設定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Settings'!$A$24=D$4),Lists!$C$14&gt;='設定 Settings'!$B$24,Lists!$C$14&lt;'設定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Settings'!$A$25=D$4),Lists!$C$14&gt;='設定 Settings'!$B$25,Lists!$C$14&lt;'設定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Settings'!$A$26=D$4),Lists!$C$14&gt;='設定 Settings'!$B$26,Lists!$C$14&lt;'設定 Settings'!$C$26),'設定 Settings'!$D$26,0))</f>
        <v/>
      </c>
      <c r="AC17">
        <f>MAX('設定 Settings'!$B$17,IF(AND(OR('設定 Settings'!$A$21="全部",AND('設定 Settings'!$A$21="平日",NOT(OR(E$4="星期六",E$4="星期日"))),AND('設定 Settings'!$A$21="週末",OR(E$4="星期六",E$4="星期日")),'設定 Settings'!$A$21=E$4),Lists!$C$14&gt;='設定 Settings'!$B$21,Lists!$C$14&lt;'設定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Settings'!$A$22=E$4),Lists!$C$14&gt;='設定 Settings'!$B$22,Lists!$C$14&lt;'設定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Settings'!$A$23=E$4),Lists!$C$14&gt;='設定 Settings'!$B$23,Lists!$C$14&lt;'設定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Settings'!$A$24=E$4),Lists!$C$14&gt;='設定 Settings'!$B$24,Lists!$C$14&lt;'設定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Settings'!$A$25=E$4),Lists!$C$14&gt;='設定 Settings'!$B$25,Lists!$C$14&lt;'設定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Settings'!$A$26=E$4),Lists!$C$14&gt;='設定 Settings'!$B$26,Lists!$C$14&lt;'設定 Settings'!$C$26),'設定 Settings'!$D$26,0))</f>
        <v/>
      </c>
      <c r="AD17">
        <f>MAX('設定 Settings'!$B$17,IF(AND(OR('設定 Settings'!$A$21="全部",AND('設定 Settings'!$A$21="平日",NOT(OR(F$4="星期六",F$4="星期日"))),AND('設定 Settings'!$A$21="週末",OR(F$4="星期六",F$4="星期日")),'設定 Settings'!$A$21=F$4),Lists!$C$14&gt;='設定 Settings'!$B$21,Lists!$C$14&lt;'設定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Settings'!$A$22=F$4),Lists!$C$14&gt;='設定 Settings'!$B$22,Lists!$C$14&lt;'設定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Settings'!$A$23=F$4),Lists!$C$14&gt;='設定 Settings'!$B$23,Lists!$C$14&lt;'設定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Settings'!$A$24=F$4),Lists!$C$14&gt;='設定 Settings'!$B$24,Lists!$C$14&lt;'設定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Settings'!$A$25=F$4),Lists!$C$14&gt;='設定 Settings'!$B$25,Lists!$C$14&lt;'設定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Settings'!$A$26=F$4),Lists!$C$14&gt;='設定 Settings'!$B$26,Lists!$C$14&lt;'設定 Settings'!$C$26),'設定 Settings'!$D$26,0))</f>
        <v/>
      </c>
      <c r="AE17">
        <f>MAX('設定 Settings'!$B$17,IF(AND(OR('設定 Settings'!$A$21="全部",AND('設定 Settings'!$A$21="平日",NOT(OR(G$4="星期六",G$4="星期日"))),AND('設定 Settings'!$A$21="週末",OR(G$4="星期六",G$4="星期日")),'設定 Settings'!$A$21=G$4),Lists!$C$14&gt;='設定 Settings'!$B$21,Lists!$C$14&lt;'設定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Settings'!$A$22=G$4),Lists!$C$14&gt;='設定 Settings'!$B$22,Lists!$C$14&lt;'設定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Settings'!$A$23=G$4),Lists!$C$14&gt;='設定 Settings'!$B$23,Lists!$C$14&lt;'設定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Settings'!$A$24=G$4),Lists!$C$14&gt;='設定 Settings'!$B$24,Lists!$C$14&lt;'設定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Settings'!$A$25=G$4),Lists!$C$14&gt;='設定 Settings'!$B$25,Lists!$C$14&lt;'設定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Settings'!$A$26=G$4),Lists!$C$14&gt;='設定 Settings'!$B$26,Lists!$C$14&lt;'設定 Settings'!$C$26),'設定 Settings'!$D$26,0))</f>
        <v/>
      </c>
      <c r="AF17">
        <f>MAX('設定 Settings'!$B$17,IF(AND(OR('設定 Settings'!$A$21="全部",AND('設定 Settings'!$A$21="平日",NOT(OR(H$4="星期六",H$4="星期日"))),AND('設定 Settings'!$A$21="週末",OR(H$4="星期六",H$4="星期日")),'設定 Settings'!$A$21=H$4),Lists!$C$14&gt;='設定 Settings'!$B$21,Lists!$C$14&lt;'設定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Settings'!$A$22=H$4),Lists!$C$14&gt;='設定 Settings'!$B$22,Lists!$C$14&lt;'設定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Settings'!$A$23=H$4),Lists!$C$14&gt;='設定 Settings'!$B$23,Lists!$C$14&lt;'設定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Settings'!$A$24=H$4),Lists!$C$14&gt;='設定 Settings'!$B$24,Lists!$C$14&lt;'設定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Settings'!$A$25=H$4),Lists!$C$14&gt;='設定 Settings'!$B$25,Lists!$C$14&lt;'設定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Settings'!$A$26=H$4),Lists!$C$14&gt;='設定 Settings'!$B$26,Lists!$C$14&lt;'設定 Settings'!$C$26),'設定 Settings'!$D$26,0))</f>
        <v/>
      </c>
    </row>
    <row r="18">
      <c r="A18" s="22" t="inlineStr">
        <is>
          <t>4:15pm-4:45pm</t>
        </is>
      </c>
      <c r="B18" s="23">
        <f>IF(B74="Work",1,0)+IF(B102="Work",1,0)+IF(B130="Work",1,0)+IF(B158="Work",1,0)+IF(B186="Work",1,0)</f>
        <v/>
      </c>
      <c r="C18" s="23">
        <f>IF(C74="Work",1,0)+IF(C102="Work",1,0)+IF(C130="Work",1,0)+IF(C158="Work",1,0)+IF(C186="Work",1,0)</f>
        <v/>
      </c>
      <c r="D18" s="23">
        <f>IF(D74="Work",1,0)+IF(D102="Work",1,0)+IF(D130="Work",1,0)+IF(D158="Work",1,0)+IF(D186="Work",1,0)</f>
        <v/>
      </c>
      <c r="E18" s="23">
        <f>IF(E74="Work",1,0)+IF(E102="Work",1,0)+IF(E130="Work",1,0)+IF(E158="Work",1,0)+IF(E186="Work",1,0)</f>
        <v/>
      </c>
      <c r="F18" s="23">
        <f>IF(F74="Work",1,0)+IF(F102="Work",1,0)+IF(F130="Work",1,0)+IF(F158="Work",1,0)+IF(F186="Work",1,0)</f>
        <v/>
      </c>
      <c r="G18" s="23">
        <f>IF(G74="Work",1,0)+IF(G102="Work",1,0)+IF(G130="Work",1,0)+IF(G158="Work",1,0)+IF(G186="Work",1,0)</f>
        <v/>
      </c>
      <c r="H18" s="23">
        <f>IF(H74="Work",1,0)+IF(H102="Work",1,0)+IF(H130="Work",1,0)+IF(H158="Work",1,0)+IF(H186="Work",1,0)</f>
        <v/>
      </c>
      <c r="Z18">
        <f>MAX('設定 Settings'!$B$17,IF(AND(OR('設定 Settings'!$A$21="全部",AND('設定 Settings'!$A$21="平日",NOT(OR(B$4="星期六",B$4="星期日"))),AND('設定 Settings'!$A$21="週末",OR(B$4="星期六",B$4="星期日")),'設定 Settings'!$A$21=B$4),Lists!$C$15&gt;='設定 Settings'!$B$21,Lists!$C$15&lt;'設定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Settings'!$A$22=B$4),Lists!$C$15&gt;='設定 Settings'!$B$22,Lists!$C$15&lt;'設定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Settings'!$A$23=B$4),Lists!$C$15&gt;='設定 Settings'!$B$23,Lists!$C$15&lt;'設定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Settings'!$A$24=B$4),Lists!$C$15&gt;='設定 Settings'!$B$24,Lists!$C$15&lt;'設定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Settings'!$A$25=B$4),Lists!$C$15&gt;='設定 Settings'!$B$25,Lists!$C$15&lt;'設定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Settings'!$A$26=B$4),Lists!$C$15&gt;='設定 Settings'!$B$26,Lists!$C$15&lt;'設定 Settings'!$C$26),'設定 Settings'!$D$26,0))</f>
        <v/>
      </c>
      <c r="AA18">
        <f>MAX('設定 Settings'!$B$17,IF(AND(OR('設定 Settings'!$A$21="全部",AND('設定 Settings'!$A$21="平日",NOT(OR(C$4="星期六",C$4="星期日"))),AND('設定 Settings'!$A$21="週末",OR(C$4="星期六",C$4="星期日")),'設定 Settings'!$A$21=C$4),Lists!$C$15&gt;='設定 Settings'!$B$21,Lists!$C$15&lt;'設定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Settings'!$A$22=C$4),Lists!$C$15&gt;='設定 Settings'!$B$22,Lists!$C$15&lt;'設定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Settings'!$A$23=C$4),Lists!$C$15&gt;='設定 Settings'!$B$23,Lists!$C$15&lt;'設定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Settings'!$A$24=C$4),Lists!$C$15&gt;='設定 Settings'!$B$24,Lists!$C$15&lt;'設定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Settings'!$A$25=C$4),Lists!$C$15&gt;='設定 Settings'!$B$25,Lists!$C$15&lt;'設定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Settings'!$A$26=C$4),Lists!$C$15&gt;='設定 Settings'!$B$26,Lists!$C$15&lt;'設定 Settings'!$C$26),'設定 Settings'!$D$26,0))</f>
        <v/>
      </c>
      <c r="AB18">
        <f>MAX('設定 Settings'!$B$17,IF(AND(OR('設定 Settings'!$A$21="全部",AND('設定 Settings'!$A$21="平日",NOT(OR(D$4="星期六",D$4="星期日"))),AND('設定 Settings'!$A$21="週末",OR(D$4="星期六",D$4="星期日")),'設定 Settings'!$A$21=D$4),Lists!$C$15&gt;='設定 Settings'!$B$21,Lists!$C$15&lt;'設定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Settings'!$A$22=D$4),Lists!$C$15&gt;='設定 Settings'!$B$22,Lists!$C$15&lt;'設定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Settings'!$A$23=D$4),Lists!$C$15&gt;='設定 Settings'!$B$23,Lists!$C$15&lt;'設定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Settings'!$A$24=D$4),Lists!$C$15&gt;='設定 Settings'!$B$24,Lists!$C$15&lt;'設定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Settings'!$A$25=D$4),Lists!$C$15&gt;='設定 Settings'!$B$25,Lists!$C$15&lt;'設定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Settings'!$A$26=D$4),Lists!$C$15&gt;='設定 Settings'!$B$26,Lists!$C$15&lt;'設定 Settings'!$C$26),'設定 Settings'!$D$26,0))</f>
        <v/>
      </c>
      <c r="AC18">
        <f>MAX('設定 Settings'!$B$17,IF(AND(OR('設定 Settings'!$A$21="全部",AND('設定 Settings'!$A$21="平日",NOT(OR(E$4="星期六",E$4="星期日"))),AND('設定 Settings'!$A$21="週末",OR(E$4="星期六",E$4="星期日")),'設定 Settings'!$A$21=E$4),Lists!$C$15&gt;='設定 Settings'!$B$21,Lists!$C$15&lt;'設定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Settings'!$A$22=E$4),Lists!$C$15&gt;='設定 Settings'!$B$22,Lists!$C$15&lt;'設定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Settings'!$A$23=E$4),Lists!$C$15&gt;='設定 Settings'!$B$23,Lists!$C$15&lt;'設定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Settings'!$A$24=E$4),Lists!$C$15&gt;='設定 Settings'!$B$24,Lists!$C$15&lt;'設定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Settings'!$A$25=E$4),Lists!$C$15&gt;='設定 Settings'!$B$25,Lists!$C$15&lt;'設定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Settings'!$A$26=E$4),Lists!$C$15&gt;='設定 Settings'!$B$26,Lists!$C$15&lt;'設定 Settings'!$C$26),'設定 Settings'!$D$26,0))</f>
        <v/>
      </c>
      <c r="AD18">
        <f>MAX('設定 Settings'!$B$17,IF(AND(OR('設定 Settings'!$A$21="全部",AND('設定 Settings'!$A$21="平日",NOT(OR(F$4="星期六",F$4="星期日"))),AND('設定 Settings'!$A$21="週末",OR(F$4="星期六",F$4="星期日")),'設定 Settings'!$A$21=F$4),Lists!$C$15&gt;='設定 Settings'!$B$21,Lists!$C$15&lt;'設定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Settings'!$A$22=F$4),Lists!$C$15&gt;='設定 Settings'!$B$22,Lists!$C$15&lt;'設定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Settings'!$A$23=F$4),Lists!$C$15&gt;='設定 Settings'!$B$23,Lists!$C$15&lt;'設定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Settings'!$A$24=F$4),Lists!$C$15&gt;='設定 Settings'!$B$24,Lists!$C$15&lt;'設定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Settings'!$A$25=F$4),Lists!$C$15&gt;='設定 Settings'!$B$25,Lists!$C$15&lt;'設定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Settings'!$A$26=F$4),Lists!$C$15&gt;='設定 Settings'!$B$26,Lists!$C$15&lt;'設定 Settings'!$C$26),'設定 Settings'!$D$26,0))</f>
        <v/>
      </c>
      <c r="AE18">
        <f>MAX('設定 Settings'!$B$17,IF(AND(OR('設定 Settings'!$A$21="全部",AND('設定 Settings'!$A$21="平日",NOT(OR(G$4="星期六",G$4="星期日"))),AND('設定 Settings'!$A$21="週末",OR(G$4="星期六",G$4="星期日")),'設定 Settings'!$A$21=G$4),Lists!$C$15&gt;='設定 Settings'!$B$21,Lists!$C$15&lt;'設定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Settings'!$A$22=G$4),Lists!$C$15&gt;='設定 Settings'!$B$22,Lists!$C$15&lt;'設定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Settings'!$A$23=G$4),Lists!$C$15&gt;='設定 Settings'!$B$23,Lists!$C$15&lt;'設定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Settings'!$A$24=G$4),Lists!$C$15&gt;='設定 Settings'!$B$24,Lists!$C$15&lt;'設定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Settings'!$A$25=G$4),Lists!$C$15&gt;='設定 Settings'!$B$25,Lists!$C$15&lt;'設定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Settings'!$A$26=G$4),Lists!$C$15&gt;='設定 Settings'!$B$26,Lists!$C$15&lt;'設定 Settings'!$C$26),'設定 Settings'!$D$26,0))</f>
        <v/>
      </c>
      <c r="AF18">
        <f>MAX('設定 Settings'!$B$17,IF(AND(OR('設定 Settings'!$A$21="全部",AND('設定 Settings'!$A$21="平日",NOT(OR(H$4="星期六",H$4="星期日"))),AND('設定 Settings'!$A$21="週末",OR(H$4="星期六",H$4="星期日")),'設定 Settings'!$A$21=H$4),Lists!$C$15&gt;='設定 Settings'!$B$21,Lists!$C$15&lt;'設定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Settings'!$A$22=H$4),Lists!$C$15&gt;='設定 Settings'!$B$22,Lists!$C$15&lt;'設定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Settings'!$A$23=H$4),Lists!$C$15&gt;='設定 Settings'!$B$23,Lists!$C$15&lt;'設定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Settings'!$A$24=H$4),Lists!$C$15&gt;='設定 Settings'!$B$24,Lists!$C$15&lt;'設定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Settings'!$A$25=H$4),Lists!$C$15&gt;='設定 Settings'!$B$25,Lists!$C$15&lt;'設定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Settings'!$A$26=H$4),Lists!$C$15&gt;='設定 Settings'!$B$26,Lists!$C$15&lt;'設定 Settings'!$C$26),'設定 Settings'!$D$26,0))</f>
        <v/>
      </c>
    </row>
    <row r="19">
      <c r="A19" s="22" t="inlineStr">
        <is>
          <t>4:45pm-5:15pm</t>
        </is>
      </c>
      <c r="B19" s="23">
        <f>IF(B75="Work",1,0)+IF(B103="Work",1,0)+IF(B131="Work",1,0)+IF(B159="Work",1,0)+IF(B187="Work",1,0)</f>
        <v/>
      </c>
      <c r="C19" s="23">
        <f>IF(C75="Work",1,0)+IF(C103="Work",1,0)+IF(C131="Work",1,0)+IF(C159="Work",1,0)+IF(C187="Work",1,0)</f>
        <v/>
      </c>
      <c r="D19" s="23">
        <f>IF(D75="Work",1,0)+IF(D103="Work",1,0)+IF(D131="Work",1,0)+IF(D159="Work",1,0)+IF(D187="Work",1,0)</f>
        <v/>
      </c>
      <c r="E19" s="23">
        <f>IF(E75="Work",1,0)+IF(E103="Work",1,0)+IF(E131="Work",1,0)+IF(E159="Work",1,0)+IF(E187="Work",1,0)</f>
        <v/>
      </c>
      <c r="F19" s="23">
        <f>IF(F75="Work",1,0)+IF(F103="Work",1,0)+IF(F131="Work",1,0)+IF(F159="Work",1,0)+IF(F187="Work",1,0)</f>
        <v/>
      </c>
      <c r="G19" s="23">
        <f>IF(G75="Work",1,0)+IF(G103="Work",1,0)+IF(G131="Work",1,0)+IF(G159="Work",1,0)+IF(G187="Work",1,0)</f>
        <v/>
      </c>
      <c r="H19" s="23">
        <f>IF(H75="Work",1,0)+IF(H103="Work",1,0)+IF(H131="Work",1,0)+IF(H159="Work",1,0)+IF(H187="Work",1,0)</f>
        <v/>
      </c>
      <c r="Z19">
        <f>MAX('設定 Settings'!$B$17,IF(AND(OR('設定 Settings'!$A$21="全部",AND('設定 Settings'!$A$21="平日",NOT(OR(B$4="星期六",B$4="星期日"))),AND('設定 Settings'!$A$21="週末",OR(B$4="星期六",B$4="星期日")),'設定 Settings'!$A$21=B$4),Lists!$C$16&gt;='設定 Settings'!$B$21,Lists!$C$16&lt;'設定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Settings'!$A$22=B$4),Lists!$C$16&gt;='設定 Settings'!$B$22,Lists!$C$16&lt;'設定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Settings'!$A$23=B$4),Lists!$C$16&gt;='設定 Settings'!$B$23,Lists!$C$16&lt;'設定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Settings'!$A$24=B$4),Lists!$C$16&gt;='設定 Settings'!$B$24,Lists!$C$16&lt;'設定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Settings'!$A$25=B$4),Lists!$C$16&gt;='設定 Settings'!$B$25,Lists!$C$16&lt;'設定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Settings'!$A$26=B$4),Lists!$C$16&gt;='設定 Settings'!$B$26,Lists!$C$16&lt;'設定 Settings'!$C$26),'設定 Settings'!$D$26,0))</f>
        <v/>
      </c>
      <c r="AA19">
        <f>MAX('設定 Settings'!$B$17,IF(AND(OR('設定 Settings'!$A$21="全部",AND('設定 Settings'!$A$21="平日",NOT(OR(C$4="星期六",C$4="星期日"))),AND('設定 Settings'!$A$21="週末",OR(C$4="星期六",C$4="星期日")),'設定 Settings'!$A$21=C$4),Lists!$C$16&gt;='設定 Settings'!$B$21,Lists!$C$16&lt;'設定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Settings'!$A$22=C$4),Lists!$C$16&gt;='設定 Settings'!$B$22,Lists!$C$16&lt;'設定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Settings'!$A$23=C$4),Lists!$C$16&gt;='設定 Settings'!$B$23,Lists!$C$16&lt;'設定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Settings'!$A$24=C$4),Lists!$C$16&gt;='設定 Settings'!$B$24,Lists!$C$16&lt;'設定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Settings'!$A$25=C$4),Lists!$C$16&gt;='設定 Settings'!$B$25,Lists!$C$16&lt;'設定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Settings'!$A$26=C$4),Lists!$C$16&gt;='設定 Settings'!$B$26,Lists!$C$16&lt;'設定 Settings'!$C$26),'設定 Settings'!$D$26,0))</f>
        <v/>
      </c>
      <c r="AB19">
        <f>MAX('設定 Settings'!$B$17,IF(AND(OR('設定 Settings'!$A$21="全部",AND('設定 Settings'!$A$21="平日",NOT(OR(D$4="星期六",D$4="星期日"))),AND('設定 Settings'!$A$21="週末",OR(D$4="星期六",D$4="星期日")),'設定 Settings'!$A$21=D$4),Lists!$C$16&gt;='設定 Settings'!$B$21,Lists!$C$16&lt;'設定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Settings'!$A$22=D$4),Lists!$C$16&gt;='設定 Settings'!$B$22,Lists!$C$16&lt;'設定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Settings'!$A$23=D$4),Lists!$C$16&gt;='設定 Settings'!$B$23,Lists!$C$16&lt;'設定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Settings'!$A$24=D$4),Lists!$C$16&gt;='設定 Settings'!$B$24,Lists!$C$16&lt;'設定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Settings'!$A$25=D$4),Lists!$C$16&gt;='設定 Settings'!$B$25,Lists!$C$16&lt;'設定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Settings'!$A$26=D$4),Lists!$C$16&gt;='設定 Settings'!$B$26,Lists!$C$16&lt;'設定 Settings'!$C$26),'設定 Settings'!$D$26,0))</f>
        <v/>
      </c>
      <c r="AC19">
        <f>MAX('設定 Settings'!$B$17,IF(AND(OR('設定 Settings'!$A$21="全部",AND('設定 Settings'!$A$21="平日",NOT(OR(E$4="星期六",E$4="星期日"))),AND('設定 Settings'!$A$21="週末",OR(E$4="星期六",E$4="星期日")),'設定 Settings'!$A$21=E$4),Lists!$C$16&gt;='設定 Settings'!$B$21,Lists!$C$16&lt;'設定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Settings'!$A$22=E$4),Lists!$C$16&gt;='設定 Settings'!$B$22,Lists!$C$16&lt;'設定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Settings'!$A$23=E$4),Lists!$C$16&gt;='設定 Settings'!$B$23,Lists!$C$16&lt;'設定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Settings'!$A$24=E$4),Lists!$C$16&gt;='設定 Settings'!$B$24,Lists!$C$16&lt;'設定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Settings'!$A$25=E$4),Lists!$C$16&gt;='設定 Settings'!$B$25,Lists!$C$16&lt;'設定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Settings'!$A$26=E$4),Lists!$C$16&gt;='設定 Settings'!$B$26,Lists!$C$16&lt;'設定 Settings'!$C$26),'設定 Settings'!$D$26,0))</f>
        <v/>
      </c>
      <c r="AD19">
        <f>MAX('設定 Settings'!$B$17,IF(AND(OR('設定 Settings'!$A$21="全部",AND('設定 Settings'!$A$21="平日",NOT(OR(F$4="星期六",F$4="星期日"))),AND('設定 Settings'!$A$21="週末",OR(F$4="星期六",F$4="星期日")),'設定 Settings'!$A$21=F$4),Lists!$C$16&gt;='設定 Settings'!$B$21,Lists!$C$16&lt;'設定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Settings'!$A$22=F$4),Lists!$C$16&gt;='設定 Settings'!$B$22,Lists!$C$16&lt;'設定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Settings'!$A$23=F$4),Lists!$C$16&gt;='設定 Settings'!$B$23,Lists!$C$16&lt;'設定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Settings'!$A$24=F$4),Lists!$C$16&gt;='設定 Settings'!$B$24,Lists!$C$16&lt;'設定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Settings'!$A$25=F$4),Lists!$C$16&gt;='設定 Settings'!$B$25,Lists!$C$16&lt;'設定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Settings'!$A$26=F$4),Lists!$C$16&gt;='設定 Settings'!$B$26,Lists!$C$16&lt;'設定 Settings'!$C$26),'設定 Settings'!$D$26,0))</f>
        <v/>
      </c>
      <c r="AE19">
        <f>MAX('設定 Settings'!$B$17,IF(AND(OR('設定 Settings'!$A$21="全部",AND('設定 Settings'!$A$21="平日",NOT(OR(G$4="星期六",G$4="星期日"))),AND('設定 Settings'!$A$21="週末",OR(G$4="星期六",G$4="星期日")),'設定 Settings'!$A$21=G$4),Lists!$C$16&gt;='設定 Settings'!$B$21,Lists!$C$16&lt;'設定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Settings'!$A$22=G$4),Lists!$C$16&gt;='設定 Settings'!$B$22,Lists!$C$16&lt;'設定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Settings'!$A$23=G$4),Lists!$C$16&gt;='設定 Settings'!$B$23,Lists!$C$16&lt;'設定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Settings'!$A$24=G$4),Lists!$C$16&gt;='設定 Settings'!$B$24,Lists!$C$16&lt;'設定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Settings'!$A$25=G$4),Lists!$C$16&gt;='設定 Settings'!$B$25,Lists!$C$16&lt;'設定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Settings'!$A$26=G$4),Lists!$C$16&gt;='設定 Settings'!$B$26,Lists!$C$16&lt;'設定 Settings'!$C$26),'設定 Settings'!$D$26,0))</f>
        <v/>
      </c>
      <c r="AF19">
        <f>MAX('設定 Settings'!$B$17,IF(AND(OR('設定 Settings'!$A$21="全部",AND('設定 Settings'!$A$21="平日",NOT(OR(H$4="星期六",H$4="星期日"))),AND('設定 Settings'!$A$21="週末",OR(H$4="星期六",H$4="星期日")),'設定 Settings'!$A$21=H$4),Lists!$C$16&gt;='設定 Settings'!$B$21,Lists!$C$16&lt;'設定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Settings'!$A$22=H$4),Lists!$C$16&gt;='設定 Settings'!$B$22,Lists!$C$16&lt;'設定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Settings'!$A$23=H$4),Lists!$C$16&gt;='設定 Settings'!$B$23,Lists!$C$16&lt;'設定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Settings'!$A$24=H$4),Lists!$C$16&gt;='設定 Settings'!$B$24,Lists!$C$16&lt;'設定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Settings'!$A$25=H$4),Lists!$C$16&gt;='設定 Settings'!$B$25,Lists!$C$16&lt;'設定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Settings'!$A$26=H$4),Lists!$C$16&gt;='設定 Settings'!$B$26,Lists!$C$16&lt;'設定 Settings'!$C$26),'設定 Settings'!$D$26,0))</f>
        <v/>
      </c>
    </row>
    <row r="20">
      <c r="A20" s="22" t="inlineStr">
        <is>
          <t>5:15pm-5:45pm</t>
        </is>
      </c>
      <c r="B20" s="23">
        <f>IF(B76="Work",1,0)+IF(B104="Work",1,0)+IF(B132="Work",1,0)+IF(B160="Work",1,0)+IF(B188="Work",1,0)</f>
        <v/>
      </c>
      <c r="C20" s="23">
        <f>IF(C76="Work",1,0)+IF(C104="Work",1,0)+IF(C132="Work",1,0)+IF(C160="Work",1,0)+IF(C188="Work",1,0)</f>
        <v/>
      </c>
      <c r="D20" s="23">
        <f>IF(D76="Work",1,0)+IF(D104="Work",1,0)+IF(D132="Work",1,0)+IF(D160="Work",1,0)+IF(D188="Work",1,0)</f>
        <v/>
      </c>
      <c r="E20" s="23">
        <f>IF(E76="Work",1,0)+IF(E104="Work",1,0)+IF(E132="Work",1,0)+IF(E160="Work",1,0)+IF(E188="Work",1,0)</f>
        <v/>
      </c>
      <c r="F20" s="23">
        <f>IF(F76="Work",1,0)+IF(F104="Work",1,0)+IF(F132="Work",1,0)+IF(F160="Work",1,0)+IF(F188="Work",1,0)</f>
        <v/>
      </c>
      <c r="G20" s="23">
        <f>IF(G76="Work",1,0)+IF(G104="Work",1,0)+IF(G132="Work",1,0)+IF(G160="Work",1,0)+IF(G188="Work",1,0)</f>
        <v/>
      </c>
      <c r="H20" s="23">
        <f>IF(H76="Work",1,0)+IF(H104="Work",1,0)+IF(H132="Work",1,0)+IF(H160="Work",1,0)+IF(H188="Work",1,0)</f>
        <v/>
      </c>
      <c r="Z20">
        <f>MAX('設定 Settings'!$B$17,IF(AND(OR('設定 Settings'!$A$21="全部",AND('設定 Settings'!$A$21="平日",NOT(OR(B$4="星期六",B$4="星期日"))),AND('設定 Settings'!$A$21="週末",OR(B$4="星期六",B$4="星期日")),'設定 Settings'!$A$21=B$4),Lists!$C$17&gt;='設定 Settings'!$B$21,Lists!$C$17&lt;'設定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Settings'!$A$22=B$4),Lists!$C$17&gt;='設定 Settings'!$B$22,Lists!$C$17&lt;'設定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Settings'!$A$23=B$4),Lists!$C$17&gt;='設定 Settings'!$B$23,Lists!$C$17&lt;'設定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Settings'!$A$24=B$4),Lists!$C$17&gt;='設定 Settings'!$B$24,Lists!$C$17&lt;'設定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Settings'!$A$25=B$4),Lists!$C$17&gt;='設定 Settings'!$B$25,Lists!$C$17&lt;'設定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Settings'!$A$26=B$4),Lists!$C$17&gt;='設定 Settings'!$B$26,Lists!$C$17&lt;'設定 Settings'!$C$26),'設定 Settings'!$D$26,0))</f>
        <v/>
      </c>
      <c r="AA20">
        <f>MAX('設定 Settings'!$B$17,IF(AND(OR('設定 Settings'!$A$21="全部",AND('設定 Settings'!$A$21="平日",NOT(OR(C$4="星期六",C$4="星期日"))),AND('設定 Settings'!$A$21="週末",OR(C$4="星期六",C$4="星期日")),'設定 Settings'!$A$21=C$4),Lists!$C$17&gt;='設定 Settings'!$B$21,Lists!$C$17&lt;'設定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Settings'!$A$22=C$4),Lists!$C$17&gt;='設定 Settings'!$B$22,Lists!$C$17&lt;'設定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Settings'!$A$23=C$4),Lists!$C$17&gt;='設定 Settings'!$B$23,Lists!$C$17&lt;'設定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Settings'!$A$24=C$4),Lists!$C$17&gt;='設定 Settings'!$B$24,Lists!$C$17&lt;'設定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Settings'!$A$25=C$4),Lists!$C$17&gt;='設定 Settings'!$B$25,Lists!$C$17&lt;'設定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Settings'!$A$26=C$4),Lists!$C$17&gt;='設定 Settings'!$B$26,Lists!$C$17&lt;'設定 Settings'!$C$26),'設定 Settings'!$D$26,0))</f>
        <v/>
      </c>
      <c r="AB20">
        <f>MAX('設定 Settings'!$B$17,IF(AND(OR('設定 Settings'!$A$21="全部",AND('設定 Settings'!$A$21="平日",NOT(OR(D$4="星期六",D$4="星期日"))),AND('設定 Settings'!$A$21="週末",OR(D$4="星期六",D$4="星期日")),'設定 Settings'!$A$21=D$4),Lists!$C$17&gt;='設定 Settings'!$B$21,Lists!$C$17&lt;'設定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Settings'!$A$22=D$4),Lists!$C$17&gt;='設定 Settings'!$B$22,Lists!$C$17&lt;'設定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Settings'!$A$23=D$4),Lists!$C$17&gt;='設定 Settings'!$B$23,Lists!$C$17&lt;'設定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Settings'!$A$24=D$4),Lists!$C$17&gt;='設定 Settings'!$B$24,Lists!$C$17&lt;'設定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Settings'!$A$25=D$4),Lists!$C$17&gt;='設定 Settings'!$B$25,Lists!$C$17&lt;'設定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Settings'!$A$26=D$4),Lists!$C$17&gt;='設定 Settings'!$B$26,Lists!$C$17&lt;'設定 Settings'!$C$26),'設定 Settings'!$D$26,0))</f>
        <v/>
      </c>
      <c r="AC20">
        <f>MAX('設定 Settings'!$B$17,IF(AND(OR('設定 Settings'!$A$21="全部",AND('設定 Settings'!$A$21="平日",NOT(OR(E$4="星期六",E$4="星期日"))),AND('設定 Settings'!$A$21="週末",OR(E$4="星期六",E$4="星期日")),'設定 Settings'!$A$21=E$4),Lists!$C$17&gt;='設定 Settings'!$B$21,Lists!$C$17&lt;'設定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Settings'!$A$22=E$4),Lists!$C$17&gt;='設定 Settings'!$B$22,Lists!$C$17&lt;'設定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Settings'!$A$23=E$4),Lists!$C$17&gt;='設定 Settings'!$B$23,Lists!$C$17&lt;'設定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Settings'!$A$24=E$4),Lists!$C$17&gt;='設定 Settings'!$B$24,Lists!$C$17&lt;'設定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Settings'!$A$25=E$4),Lists!$C$17&gt;='設定 Settings'!$B$25,Lists!$C$17&lt;'設定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Settings'!$A$26=E$4),Lists!$C$17&gt;='設定 Settings'!$B$26,Lists!$C$17&lt;'設定 Settings'!$C$26),'設定 Settings'!$D$26,0))</f>
        <v/>
      </c>
      <c r="AD20">
        <f>MAX('設定 Settings'!$B$17,IF(AND(OR('設定 Settings'!$A$21="全部",AND('設定 Settings'!$A$21="平日",NOT(OR(F$4="星期六",F$4="星期日"))),AND('設定 Settings'!$A$21="週末",OR(F$4="星期六",F$4="星期日")),'設定 Settings'!$A$21=F$4),Lists!$C$17&gt;='設定 Settings'!$B$21,Lists!$C$17&lt;'設定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Settings'!$A$22=F$4),Lists!$C$17&gt;='設定 Settings'!$B$22,Lists!$C$17&lt;'設定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Settings'!$A$23=F$4),Lists!$C$17&gt;='設定 Settings'!$B$23,Lists!$C$17&lt;'設定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Settings'!$A$24=F$4),Lists!$C$17&gt;='設定 Settings'!$B$24,Lists!$C$17&lt;'設定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Settings'!$A$25=F$4),Lists!$C$17&gt;='設定 Settings'!$B$25,Lists!$C$17&lt;'設定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Settings'!$A$26=F$4),Lists!$C$17&gt;='設定 Settings'!$B$26,Lists!$C$17&lt;'設定 Settings'!$C$26),'設定 Settings'!$D$26,0))</f>
        <v/>
      </c>
      <c r="AE20">
        <f>MAX('設定 Settings'!$B$17,IF(AND(OR('設定 Settings'!$A$21="全部",AND('設定 Settings'!$A$21="平日",NOT(OR(G$4="星期六",G$4="星期日"))),AND('設定 Settings'!$A$21="週末",OR(G$4="星期六",G$4="星期日")),'設定 Settings'!$A$21=G$4),Lists!$C$17&gt;='設定 Settings'!$B$21,Lists!$C$17&lt;'設定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Settings'!$A$22=G$4),Lists!$C$17&gt;='設定 Settings'!$B$22,Lists!$C$17&lt;'設定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Settings'!$A$23=G$4),Lists!$C$17&gt;='設定 Settings'!$B$23,Lists!$C$17&lt;'設定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Settings'!$A$24=G$4),Lists!$C$17&gt;='設定 Settings'!$B$24,Lists!$C$17&lt;'設定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Settings'!$A$25=G$4),Lists!$C$17&gt;='設定 Settings'!$B$25,Lists!$C$17&lt;'設定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Settings'!$A$26=G$4),Lists!$C$17&gt;='設定 Settings'!$B$26,Lists!$C$17&lt;'設定 Settings'!$C$26),'設定 Settings'!$D$26,0))</f>
        <v/>
      </c>
      <c r="AF20">
        <f>MAX('設定 Settings'!$B$17,IF(AND(OR('設定 Settings'!$A$21="全部",AND('設定 Settings'!$A$21="平日",NOT(OR(H$4="星期六",H$4="星期日"))),AND('設定 Settings'!$A$21="週末",OR(H$4="星期六",H$4="星期日")),'設定 Settings'!$A$21=H$4),Lists!$C$17&gt;='設定 Settings'!$B$21,Lists!$C$17&lt;'設定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Settings'!$A$22=H$4),Lists!$C$17&gt;='設定 Settings'!$B$22,Lists!$C$17&lt;'設定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Settings'!$A$23=H$4),Lists!$C$17&gt;='設定 Settings'!$B$23,Lists!$C$17&lt;'設定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Settings'!$A$24=H$4),Lists!$C$17&gt;='設定 Settings'!$B$24,Lists!$C$17&lt;'設定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Settings'!$A$25=H$4),Lists!$C$17&gt;='設定 Settings'!$B$25,Lists!$C$17&lt;'設定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Settings'!$A$26=H$4),Lists!$C$17&gt;='設定 Settings'!$B$26,Lists!$C$17&lt;'設定 Settings'!$C$26),'設定 Settings'!$D$26,0))</f>
        <v/>
      </c>
    </row>
    <row r="21">
      <c r="A21" s="22" t="inlineStr">
        <is>
          <t>5:45pm-6:15pm</t>
        </is>
      </c>
      <c r="B21" s="23">
        <f>IF(B77="Work",1,0)+IF(B105="Work",1,0)+IF(B133="Work",1,0)+IF(B161="Work",1,0)+IF(B189="Work",1,0)</f>
        <v/>
      </c>
      <c r="C21" s="23">
        <f>IF(C77="Work",1,0)+IF(C105="Work",1,0)+IF(C133="Work",1,0)+IF(C161="Work",1,0)+IF(C189="Work",1,0)</f>
        <v/>
      </c>
      <c r="D21" s="23">
        <f>IF(D77="Work",1,0)+IF(D105="Work",1,0)+IF(D133="Work",1,0)+IF(D161="Work",1,0)+IF(D189="Work",1,0)</f>
        <v/>
      </c>
      <c r="E21" s="23">
        <f>IF(E77="Work",1,0)+IF(E105="Work",1,0)+IF(E133="Work",1,0)+IF(E161="Work",1,0)+IF(E189="Work",1,0)</f>
        <v/>
      </c>
      <c r="F21" s="23">
        <f>IF(F77="Work",1,0)+IF(F105="Work",1,0)+IF(F133="Work",1,0)+IF(F161="Work",1,0)+IF(F189="Work",1,0)</f>
        <v/>
      </c>
      <c r="G21" s="23">
        <f>IF(G77="Work",1,0)+IF(G105="Work",1,0)+IF(G133="Work",1,0)+IF(G161="Work",1,0)+IF(G189="Work",1,0)</f>
        <v/>
      </c>
      <c r="H21" s="23">
        <f>IF(H77="Work",1,0)+IF(H105="Work",1,0)+IF(H133="Work",1,0)+IF(H161="Work",1,0)+IF(H189="Work",1,0)</f>
        <v/>
      </c>
      <c r="Z21">
        <f>MAX('設定 Settings'!$B$17,IF(AND(OR('設定 Settings'!$A$21="全部",AND('設定 Settings'!$A$21="平日",NOT(OR(B$4="星期六",B$4="星期日"))),AND('設定 Settings'!$A$21="週末",OR(B$4="星期六",B$4="星期日")),'設定 Settings'!$A$21=B$4),Lists!$C$18&gt;='設定 Settings'!$B$21,Lists!$C$18&lt;'設定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Settings'!$A$22=B$4),Lists!$C$18&gt;='設定 Settings'!$B$22,Lists!$C$18&lt;'設定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Settings'!$A$23=B$4),Lists!$C$18&gt;='設定 Settings'!$B$23,Lists!$C$18&lt;'設定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Settings'!$A$24=B$4),Lists!$C$18&gt;='設定 Settings'!$B$24,Lists!$C$18&lt;'設定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Settings'!$A$25=B$4),Lists!$C$18&gt;='設定 Settings'!$B$25,Lists!$C$18&lt;'設定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Settings'!$A$26=B$4),Lists!$C$18&gt;='設定 Settings'!$B$26,Lists!$C$18&lt;'設定 Settings'!$C$26),'設定 Settings'!$D$26,0))</f>
        <v/>
      </c>
      <c r="AA21">
        <f>MAX('設定 Settings'!$B$17,IF(AND(OR('設定 Settings'!$A$21="全部",AND('設定 Settings'!$A$21="平日",NOT(OR(C$4="星期六",C$4="星期日"))),AND('設定 Settings'!$A$21="週末",OR(C$4="星期六",C$4="星期日")),'設定 Settings'!$A$21=C$4),Lists!$C$18&gt;='設定 Settings'!$B$21,Lists!$C$18&lt;'設定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Settings'!$A$22=C$4),Lists!$C$18&gt;='設定 Settings'!$B$22,Lists!$C$18&lt;'設定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Settings'!$A$23=C$4),Lists!$C$18&gt;='設定 Settings'!$B$23,Lists!$C$18&lt;'設定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Settings'!$A$24=C$4),Lists!$C$18&gt;='設定 Settings'!$B$24,Lists!$C$18&lt;'設定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Settings'!$A$25=C$4),Lists!$C$18&gt;='設定 Settings'!$B$25,Lists!$C$18&lt;'設定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Settings'!$A$26=C$4),Lists!$C$18&gt;='設定 Settings'!$B$26,Lists!$C$18&lt;'設定 Settings'!$C$26),'設定 Settings'!$D$26,0))</f>
        <v/>
      </c>
      <c r="AB21">
        <f>MAX('設定 Settings'!$B$17,IF(AND(OR('設定 Settings'!$A$21="全部",AND('設定 Settings'!$A$21="平日",NOT(OR(D$4="星期六",D$4="星期日"))),AND('設定 Settings'!$A$21="週末",OR(D$4="星期六",D$4="星期日")),'設定 Settings'!$A$21=D$4),Lists!$C$18&gt;='設定 Settings'!$B$21,Lists!$C$18&lt;'設定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Settings'!$A$22=D$4),Lists!$C$18&gt;='設定 Settings'!$B$22,Lists!$C$18&lt;'設定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Settings'!$A$23=D$4),Lists!$C$18&gt;='設定 Settings'!$B$23,Lists!$C$18&lt;'設定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Settings'!$A$24=D$4),Lists!$C$18&gt;='設定 Settings'!$B$24,Lists!$C$18&lt;'設定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Settings'!$A$25=D$4),Lists!$C$18&gt;='設定 Settings'!$B$25,Lists!$C$18&lt;'設定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Settings'!$A$26=D$4),Lists!$C$18&gt;='設定 Settings'!$B$26,Lists!$C$18&lt;'設定 Settings'!$C$26),'設定 Settings'!$D$26,0))</f>
        <v/>
      </c>
      <c r="AC21">
        <f>MAX('設定 Settings'!$B$17,IF(AND(OR('設定 Settings'!$A$21="全部",AND('設定 Settings'!$A$21="平日",NOT(OR(E$4="星期六",E$4="星期日"))),AND('設定 Settings'!$A$21="週末",OR(E$4="星期六",E$4="星期日")),'設定 Settings'!$A$21=E$4),Lists!$C$18&gt;='設定 Settings'!$B$21,Lists!$C$18&lt;'設定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Settings'!$A$22=E$4),Lists!$C$18&gt;='設定 Settings'!$B$22,Lists!$C$18&lt;'設定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Settings'!$A$23=E$4),Lists!$C$18&gt;='設定 Settings'!$B$23,Lists!$C$18&lt;'設定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Settings'!$A$24=E$4),Lists!$C$18&gt;='設定 Settings'!$B$24,Lists!$C$18&lt;'設定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Settings'!$A$25=E$4),Lists!$C$18&gt;='設定 Settings'!$B$25,Lists!$C$18&lt;'設定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Settings'!$A$26=E$4),Lists!$C$18&gt;='設定 Settings'!$B$26,Lists!$C$18&lt;'設定 Settings'!$C$26),'設定 Settings'!$D$26,0))</f>
        <v/>
      </c>
      <c r="AD21">
        <f>MAX('設定 Settings'!$B$17,IF(AND(OR('設定 Settings'!$A$21="全部",AND('設定 Settings'!$A$21="平日",NOT(OR(F$4="星期六",F$4="星期日"))),AND('設定 Settings'!$A$21="週末",OR(F$4="星期六",F$4="星期日")),'設定 Settings'!$A$21=F$4),Lists!$C$18&gt;='設定 Settings'!$B$21,Lists!$C$18&lt;'設定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Settings'!$A$22=F$4),Lists!$C$18&gt;='設定 Settings'!$B$22,Lists!$C$18&lt;'設定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Settings'!$A$23=F$4),Lists!$C$18&gt;='設定 Settings'!$B$23,Lists!$C$18&lt;'設定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Settings'!$A$24=F$4),Lists!$C$18&gt;='設定 Settings'!$B$24,Lists!$C$18&lt;'設定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Settings'!$A$25=F$4),Lists!$C$18&gt;='設定 Settings'!$B$25,Lists!$C$18&lt;'設定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Settings'!$A$26=F$4),Lists!$C$18&gt;='設定 Settings'!$B$26,Lists!$C$18&lt;'設定 Settings'!$C$26),'設定 Settings'!$D$26,0))</f>
        <v/>
      </c>
      <c r="AE21">
        <f>MAX('設定 Settings'!$B$17,IF(AND(OR('設定 Settings'!$A$21="全部",AND('設定 Settings'!$A$21="平日",NOT(OR(G$4="星期六",G$4="星期日"))),AND('設定 Settings'!$A$21="週末",OR(G$4="星期六",G$4="星期日")),'設定 Settings'!$A$21=G$4),Lists!$C$18&gt;='設定 Settings'!$B$21,Lists!$C$18&lt;'設定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Settings'!$A$22=G$4),Lists!$C$18&gt;='設定 Settings'!$B$22,Lists!$C$18&lt;'設定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Settings'!$A$23=G$4),Lists!$C$18&gt;='設定 Settings'!$B$23,Lists!$C$18&lt;'設定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Settings'!$A$24=G$4),Lists!$C$18&gt;='設定 Settings'!$B$24,Lists!$C$18&lt;'設定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Settings'!$A$25=G$4),Lists!$C$18&gt;='設定 Settings'!$B$25,Lists!$C$18&lt;'設定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Settings'!$A$26=G$4),Lists!$C$18&gt;='設定 Settings'!$B$26,Lists!$C$18&lt;'設定 Settings'!$C$26),'設定 Settings'!$D$26,0))</f>
        <v/>
      </c>
      <c r="AF21">
        <f>MAX('設定 Settings'!$B$17,IF(AND(OR('設定 Settings'!$A$21="全部",AND('設定 Settings'!$A$21="平日",NOT(OR(H$4="星期六",H$4="星期日"))),AND('設定 Settings'!$A$21="週末",OR(H$4="星期六",H$4="星期日")),'設定 Settings'!$A$21=H$4),Lists!$C$18&gt;='設定 Settings'!$B$21,Lists!$C$18&lt;'設定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Settings'!$A$22=H$4),Lists!$C$18&gt;='設定 Settings'!$B$22,Lists!$C$18&lt;'設定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Settings'!$A$23=H$4),Lists!$C$18&gt;='設定 Settings'!$B$23,Lists!$C$18&lt;'設定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Settings'!$A$24=H$4),Lists!$C$18&gt;='設定 Settings'!$B$24,Lists!$C$18&lt;'設定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Settings'!$A$25=H$4),Lists!$C$18&gt;='設定 Settings'!$B$25,Lists!$C$18&lt;'設定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Settings'!$A$26=H$4),Lists!$C$18&gt;='設定 Settings'!$B$26,Lists!$C$18&lt;'設定 Settings'!$C$26),'設定 Settings'!$D$26,0))</f>
        <v/>
      </c>
    </row>
    <row r="22">
      <c r="A22" s="22" t="inlineStr">
        <is>
          <t>6:15pm-6:45pm</t>
        </is>
      </c>
      <c r="B22" s="23">
        <f>IF(B78="Work",1,0)+IF(B106="Work",1,0)+IF(B134="Work",1,0)+IF(B162="Work",1,0)+IF(B190="Work",1,0)</f>
        <v/>
      </c>
      <c r="C22" s="23">
        <f>IF(C78="Work",1,0)+IF(C106="Work",1,0)+IF(C134="Work",1,0)+IF(C162="Work",1,0)+IF(C190="Work",1,0)</f>
        <v/>
      </c>
      <c r="D22" s="23">
        <f>IF(D78="Work",1,0)+IF(D106="Work",1,0)+IF(D134="Work",1,0)+IF(D162="Work",1,0)+IF(D190="Work",1,0)</f>
        <v/>
      </c>
      <c r="E22" s="23">
        <f>IF(E78="Work",1,0)+IF(E106="Work",1,0)+IF(E134="Work",1,0)+IF(E162="Work",1,0)+IF(E190="Work",1,0)</f>
        <v/>
      </c>
      <c r="F22" s="23">
        <f>IF(F78="Work",1,0)+IF(F106="Work",1,0)+IF(F134="Work",1,0)+IF(F162="Work",1,0)+IF(F190="Work",1,0)</f>
        <v/>
      </c>
      <c r="G22" s="23">
        <f>IF(G78="Work",1,0)+IF(G106="Work",1,0)+IF(G134="Work",1,0)+IF(G162="Work",1,0)+IF(G190="Work",1,0)</f>
        <v/>
      </c>
      <c r="H22" s="23">
        <f>IF(H78="Work",1,0)+IF(H106="Work",1,0)+IF(H134="Work",1,0)+IF(H162="Work",1,0)+IF(H190="Work",1,0)</f>
        <v/>
      </c>
      <c r="Z22">
        <f>MAX('設定 Settings'!$B$17,IF(AND(OR('設定 Settings'!$A$21="全部",AND('設定 Settings'!$A$21="平日",NOT(OR(B$4="星期六",B$4="星期日"))),AND('設定 Settings'!$A$21="週末",OR(B$4="星期六",B$4="星期日")),'設定 Settings'!$A$21=B$4),Lists!$C$19&gt;='設定 Settings'!$B$21,Lists!$C$19&lt;'設定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Settings'!$A$22=B$4),Lists!$C$19&gt;='設定 Settings'!$B$22,Lists!$C$19&lt;'設定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Settings'!$A$23=B$4),Lists!$C$19&gt;='設定 Settings'!$B$23,Lists!$C$19&lt;'設定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Settings'!$A$24=B$4),Lists!$C$19&gt;='設定 Settings'!$B$24,Lists!$C$19&lt;'設定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Settings'!$A$25=B$4),Lists!$C$19&gt;='設定 Settings'!$B$25,Lists!$C$19&lt;'設定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Settings'!$A$26=B$4),Lists!$C$19&gt;='設定 Settings'!$B$26,Lists!$C$19&lt;'設定 Settings'!$C$26),'設定 Settings'!$D$26,0))</f>
        <v/>
      </c>
      <c r="AA22">
        <f>MAX('設定 Settings'!$B$17,IF(AND(OR('設定 Settings'!$A$21="全部",AND('設定 Settings'!$A$21="平日",NOT(OR(C$4="星期六",C$4="星期日"))),AND('設定 Settings'!$A$21="週末",OR(C$4="星期六",C$4="星期日")),'設定 Settings'!$A$21=C$4),Lists!$C$19&gt;='設定 Settings'!$B$21,Lists!$C$19&lt;'設定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Settings'!$A$22=C$4),Lists!$C$19&gt;='設定 Settings'!$B$22,Lists!$C$19&lt;'設定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Settings'!$A$23=C$4),Lists!$C$19&gt;='設定 Settings'!$B$23,Lists!$C$19&lt;'設定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Settings'!$A$24=C$4),Lists!$C$19&gt;='設定 Settings'!$B$24,Lists!$C$19&lt;'設定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Settings'!$A$25=C$4),Lists!$C$19&gt;='設定 Settings'!$B$25,Lists!$C$19&lt;'設定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Settings'!$A$26=C$4),Lists!$C$19&gt;='設定 Settings'!$B$26,Lists!$C$19&lt;'設定 Settings'!$C$26),'設定 Settings'!$D$26,0))</f>
        <v/>
      </c>
      <c r="AB22">
        <f>MAX('設定 Settings'!$B$17,IF(AND(OR('設定 Settings'!$A$21="全部",AND('設定 Settings'!$A$21="平日",NOT(OR(D$4="星期六",D$4="星期日"))),AND('設定 Settings'!$A$21="週末",OR(D$4="星期六",D$4="星期日")),'設定 Settings'!$A$21=D$4),Lists!$C$19&gt;='設定 Settings'!$B$21,Lists!$C$19&lt;'設定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Settings'!$A$22=D$4),Lists!$C$19&gt;='設定 Settings'!$B$22,Lists!$C$19&lt;'設定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Settings'!$A$23=D$4),Lists!$C$19&gt;='設定 Settings'!$B$23,Lists!$C$19&lt;'設定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Settings'!$A$24=D$4),Lists!$C$19&gt;='設定 Settings'!$B$24,Lists!$C$19&lt;'設定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Settings'!$A$25=D$4),Lists!$C$19&gt;='設定 Settings'!$B$25,Lists!$C$19&lt;'設定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Settings'!$A$26=D$4),Lists!$C$19&gt;='設定 Settings'!$B$26,Lists!$C$19&lt;'設定 Settings'!$C$26),'設定 Settings'!$D$26,0))</f>
        <v/>
      </c>
      <c r="AC22">
        <f>MAX('設定 Settings'!$B$17,IF(AND(OR('設定 Settings'!$A$21="全部",AND('設定 Settings'!$A$21="平日",NOT(OR(E$4="星期六",E$4="星期日"))),AND('設定 Settings'!$A$21="週末",OR(E$4="星期六",E$4="星期日")),'設定 Settings'!$A$21=E$4),Lists!$C$19&gt;='設定 Settings'!$B$21,Lists!$C$19&lt;'設定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Settings'!$A$22=E$4),Lists!$C$19&gt;='設定 Settings'!$B$22,Lists!$C$19&lt;'設定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Settings'!$A$23=E$4),Lists!$C$19&gt;='設定 Settings'!$B$23,Lists!$C$19&lt;'設定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Settings'!$A$24=E$4),Lists!$C$19&gt;='設定 Settings'!$B$24,Lists!$C$19&lt;'設定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Settings'!$A$25=E$4),Lists!$C$19&gt;='設定 Settings'!$B$25,Lists!$C$19&lt;'設定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Settings'!$A$26=E$4),Lists!$C$19&gt;='設定 Settings'!$B$26,Lists!$C$19&lt;'設定 Settings'!$C$26),'設定 Settings'!$D$26,0))</f>
        <v/>
      </c>
      <c r="AD22">
        <f>MAX('設定 Settings'!$B$17,IF(AND(OR('設定 Settings'!$A$21="全部",AND('設定 Settings'!$A$21="平日",NOT(OR(F$4="星期六",F$4="星期日"))),AND('設定 Settings'!$A$21="週末",OR(F$4="星期六",F$4="星期日")),'設定 Settings'!$A$21=F$4),Lists!$C$19&gt;='設定 Settings'!$B$21,Lists!$C$19&lt;'設定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Settings'!$A$22=F$4),Lists!$C$19&gt;='設定 Settings'!$B$22,Lists!$C$19&lt;'設定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Settings'!$A$23=F$4),Lists!$C$19&gt;='設定 Settings'!$B$23,Lists!$C$19&lt;'設定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Settings'!$A$24=F$4),Lists!$C$19&gt;='設定 Settings'!$B$24,Lists!$C$19&lt;'設定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Settings'!$A$25=F$4),Lists!$C$19&gt;='設定 Settings'!$B$25,Lists!$C$19&lt;'設定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Settings'!$A$26=F$4),Lists!$C$19&gt;='設定 Settings'!$B$26,Lists!$C$19&lt;'設定 Settings'!$C$26),'設定 Settings'!$D$26,0))</f>
        <v/>
      </c>
      <c r="AE22">
        <f>MAX('設定 Settings'!$B$17,IF(AND(OR('設定 Settings'!$A$21="全部",AND('設定 Settings'!$A$21="平日",NOT(OR(G$4="星期六",G$4="星期日"))),AND('設定 Settings'!$A$21="週末",OR(G$4="星期六",G$4="星期日")),'設定 Settings'!$A$21=G$4),Lists!$C$19&gt;='設定 Settings'!$B$21,Lists!$C$19&lt;'設定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Settings'!$A$22=G$4),Lists!$C$19&gt;='設定 Settings'!$B$22,Lists!$C$19&lt;'設定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Settings'!$A$23=G$4),Lists!$C$19&gt;='設定 Settings'!$B$23,Lists!$C$19&lt;'設定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Settings'!$A$24=G$4),Lists!$C$19&gt;='設定 Settings'!$B$24,Lists!$C$19&lt;'設定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Settings'!$A$25=G$4),Lists!$C$19&gt;='設定 Settings'!$B$25,Lists!$C$19&lt;'設定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Settings'!$A$26=G$4),Lists!$C$19&gt;='設定 Settings'!$B$26,Lists!$C$19&lt;'設定 Settings'!$C$26),'設定 Settings'!$D$26,0))</f>
        <v/>
      </c>
      <c r="AF22">
        <f>MAX('設定 Settings'!$B$17,IF(AND(OR('設定 Settings'!$A$21="全部",AND('設定 Settings'!$A$21="平日",NOT(OR(H$4="星期六",H$4="星期日"))),AND('設定 Settings'!$A$21="週末",OR(H$4="星期六",H$4="星期日")),'設定 Settings'!$A$21=H$4),Lists!$C$19&gt;='設定 Settings'!$B$21,Lists!$C$19&lt;'設定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Settings'!$A$22=H$4),Lists!$C$19&gt;='設定 Settings'!$B$22,Lists!$C$19&lt;'設定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Settings'!$A$23=H$4),Lists!$C$19&gt;='設定 Settings'!$B$23,Lists!$C$19&lt;'設定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Settings'!$A$24=H$4),Lists!$C$19&gt;='設定 Settings'!$B$24,Lists!$C$19&lt;'設定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Settings'!$A$25=H$4),Lists!$C$19&gt;='設定 Settings'!$B$25,Lists!$C$19&lt;'設定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Settings'!$A$26=H$4),Lists!$C$19&gt;='設定 Settings'!$B$26,Lists!$C$19&lt;'設定 Settings'!$C$26),'設定 Settings'!$D$26,0))</f>
        <v/>
      </c>
    </row>
    <row r="23">
      <c r="A23" s="22" t="inlineStr">
        <is>
          <t>6:45pm-7:15pm</t>
        </is>
      </c>
      <c r="B23" s="23">
        <f>IF(B79="Work",1,0)+IF(B107="Work",1,0)+IF(B135="Work",1,0)+IF(B163="Work",1,0)+IF(B191="Work",1,0)</f>
        <v/>
      </c>
      <c r="C23" s="23">
        <f>IF(C79="Work",1,0)+IF(C107="Work",1,0)+IF(C135="Work",1,0)+IF(C163="Work",1,0)+IF(C191="Work",1,0)</f>
        <v/>
      </c>
      <c r="D23" s="23">
        <f>IF(D79="Work",1,0)+IF(D107="Work",1,0)+IF(D135="Work",1,0)+IF(D163="Work",1,0)+IF(D191="Work",1,0)</f>
        <v/>
      </c>
      <c r="E23" s="23">
        <f>IF(E79="Work",1,0)+IF(E107="Work",1,0)+IF(E135="Work",1,0)+IF(E163="Work",1,0)+IF(E191="Work",1,0)</f>
        <v/>
      </c>
      <c r="F23" s="23">
        <f>IF(F79="Work",1,0)+IF(F107="Work",1,0)+IF(F135="Work",1,0)+IF(F163="Work",1,0)+IF(F191="Work",1,0)</f>
        <v/>
      </c>
      <c r="G23" s="23">
        <f>IF(G79="Work",1,0)+IF(G107="Work",1,0)+IF(G135="Work",1,0)+IF(G163="Work",1,0)+IF(G191="Work",1,0)</f>
        <v/>
      </c>
      <c r="H23" s="23">
        <f>IF(H79="Work",1,0)+IF(H107="Work",1,0)+IF(H135="Work",1,0)+IF(H163="Work",1,0)+IF(H191="Work",1,0)</f>
        <v/>
      </c>
      <c r="Z23">
        <f>MAX('設定 Settings'!$B$17,IF(AND(OR('設定 Settings'!$A$21="全部",AND('設定 Settings'!$A$21="平日",NOT(OR(B$4="星期六",B$4="星期日"))),AND('設定 Settings'!$A$21="週末",OR(B$4="星期六",B$4="星期日")),'設定 Settings'!$A$21=B$4),Lists!$C$20&gt;='設定 Settings'!$B$21,Lists!$C$20&lt;'設定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Settings'!$A$22=B$4),Lists!$C$20&gt;='設定 Settings'!$B$22,Lists!$C$20&lt;'設定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Settings'!$A$23=B$4),Lists!$C$20&gt;='設定 Settings'!$B$23,Lists!$C$20&lt;'設定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Settings'!$A$24=B$4),Lists!$C$20&gt;='設定 Settings'!$B$24,Lists!$C$20&lt;'設定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Settings'!$A$25=B$4),Lists!$C$20&gt;='設定 Settings'!$B$25,Lists!$C$20&lt;'設定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Settings'!$A$26=B$4),Lists!$C$20&gt;='設定 Settings'!$B$26,Lists!$C$20&lt;'設定 Settings'!$C$26),'設定 Settings'!$D$26,0))</f>
        <v/>
      </c>
      <c r="AA23">
        <f>MAX('設定 Settings'!$B$17,IF(AND(OR('設定 Settings'!$A$21="全部",AND('設定 Settings'!$A$21="平日",NOT(OR(C$4="星期六",C$4="星期日"))),AND('設定 Settings'!$A$21="週末",OR(C$4="星期六",C$4="星期日")),'設定 Settings'!$A$21=C$4),Lists!$C$20&gt;='設定 Settings'!$B$21,Lists!$C$20&lt;'設定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Settings'!$A$22=C$4),Lists!$C$20&gt;='設定 Settings'!$B$22,Lists!$C$20&lt;'設定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Settings'!$A$23=C$4),Lists!$C$20&gt;='設定 Settings'!$B$23,Lists!$C$20&lt;'設定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Settings'!$A$24=C$4),Lists!$C$20&gt;='設定 Settings'!$B$24,Lists!$C$20&lt;'設定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Settings'!$A$25=C$4),Lists!$C$20&gt;='設定 Settings'!$B$25,Lists!$C$20&lt;'設定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Settings'!$A$26=C$4),Lists!$C$20&gt;='設定 Settings'!$B$26,Lists!$C$20&lt;'設定 Settings'!$C$26),'設定 Settings'!$D$26,0))</f>
        <v/>
      </c>
      <c r="AB23">
        <f>MAX('設定 Settings'!$B$17,IF(AND(OR('設定 Settings'!$A$21="全部",AND('設定 Settings'!$A$21="平日",NOT(OR(D$4="星期六",D$4="星期日"))),AND('設定 Settings'!$A$21="週末",OR(D$4="星期六",D$4="星期日")),'設定 Settings'!$A$21=D$4),Lists!$C$20&gt;='設定 Settings'!$B$21,Lists!$C$20&lt;'設定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Settings'!$A$22=D$4),Lists!$C$20&gt;='設定 Settings'!$B$22,Lists!$C$20&lt;'設定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Settings'!$A$23=D$4),Lists!$C$20&gt;='設定 Settings'!$B$23,Lists!$C$20&lt;'設定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Settings'!$A$24=D$4),Lists!$C$20&gt;='設定 Settings'!$B$24,Lists!$C$20&lt;'設定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Settings'!$A$25=D$4),Lists!$C$20&gt;='設定 Settings'!$B$25,Lists!$C$20&lt;'設定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Settings'!$A$26=D$4),Lists!$C$20&gt;='設定 Settings'!$B$26,Lists!$C$20&lt;'設定 Settings'!$C$26),'設定 Settings'!$D$26,0))</f>
        <v/>
      </c>
      <c r="AC23">
        <f>MAX('設定 Settings'!$B$17,IF(AND(OR('設定 Settings'!$A$21="全部",AND('設定 Settings'!$A$21="平日",NOT(OR(E$4="星期六",E$4="星期日"))),AND('設定 Settings'!$A$21="週末",OR(E$4="星期六",E$4="星期日")),'設定 Settings'!$A$21=E$4),Lists!$C$20&gt;='設定 Settings'!$B$21,Lists!$C$20&lt;'設定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Settings'!$A$22=E$4),Lists!$C$20&gt;='設定 Settings'!$B$22,Lists!$C$20&lt;'設定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Settings'!$A$23=E$4),Lists!$C$20&gt;='設定 Settings'!$B$23,Lists!$C$20&lt;'設定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Settings'!$A$24=E$4),Lists!$C$20&gt;='設定 Settings'!$B$24,Lists!$C$20&lt;'設定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Settings'!$A$25=E$4),Lists!$C$20&gt;='設定 Settings'!$B$25,Lists!$C$20&lt;'設定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Settings'!$A$26=E$4),Lists!$C$20&gt;='設定 Settings'!$B$26,Lists!$C$20&lt;'設定 Settings'!$C$26),'設定 Settings'!$D$26,0))</f>
        <v/>
      </c>
      <c r="AD23">
        <f>MAX('設定 Settings'!$B$17,IF(AND(OR('設定 Settings'!$A$21="全部",AND('設定 Settings'!$A$21="平日",NOT(OR(F$4="星期六",F$4="星期日"))),AND('設定 Settings'!$A$21="週末",OR(F$4="星期六",F$4="星期日")),'設定 Settings'!$A$21=F$4),Lists!$C$20&gt;='設定 Settings'!$B$21,Lists!$C$20&lt;'設定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Settings'!$A$22=F$4),Lists!$C$20&gt;='設定 Settings'!$B$22,Lists!$C$20&lt;'設定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Settings'!$A$23=F$4),Lists!$C$20&gt;='設定 Settings'!$B$23,Lists!$C$20&lt;'設定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Settings'!$A$24=F$4),Lists!$C$20&gt;='設定 Settings'!$B$24,Lists!$C$20&lt;'設定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Settings'!$A$25=F$4),Lists!$C$20&gt;='設定 Settings'!$B$25,Lists!$C$20&lt;'設定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Settings'!$A$26=F$4),Lists!$C$20&gt;='設定 Settings'!$B$26,Lists!$C$20&lt;'設定 Settings'!$C$26),'設定 Settings'!$D$26,0))</f>
        <v/>
      </c>
      <c r="AE23">
        <f>MAX('設定 Settings'!$B$17,IF(AND(OR('設定 Settings'!$A$21="全部",AND('設定 Settings'!$A$21="平日",NOT(OR(G$4="星期六",G$4="星期日"))),AND('設定 Settings'!$A$21="週末",OR(G$4="星期六",G$4="星期日")),'設定 Settings'!$A$21=G$4),Lists!$C$20&gt;='設定 Settings'!$B$21,Lists!$C$20&lt;'設定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Settings'!$A$22=G$4),Lists!$C$20&gt;='設定 Settings'!$B$22,Lists!$C$20&lt;'設定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Settings'!$A$23=G$4),Lists!$C$20&gt;='設定 Settings'!$B$23,Lists!$C$20&lt;'設定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Settings'!$A$24=G$4),Lists!$C$20&gt;='設定 Settings'!$B$24,Lists!$C$20&lt;'設定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Settings'!$A$25=G$4),Lists!$C$20&gt;='設定 Settings'!$B$25,Lists!$C$20&lt;'設定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Settings'!$A$26=G$4),Lists!$C$20&gt;='設定 Settings'!$B$26,Lists!$C$20&lt;'設定 Settings'!$C$26),'設定 Settings'!$D$26,0))</f>
        <v/>
      </c>
      <c r="AF23">
        <f>MAX('設定 Settings'!$B$17,IF(AND(OR('設定 Settings'!$A$21="全部",AND('設定 Settings'!$A$21="平日",NOT(OR(H$4="星期六",H$4="星期日"))),AND('設定 Settings'!$A$21="週末",OR(H$4="星期六",H$4="星期日")),'設定 Settings'!$A$21=H$4),Lists!$C$20&gt;='設定 Settings'!$B$21,Lists!$C$20&lt;'設定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Settings'!$A$22=H$4),Lists!$C$20&gt;='設定 Settings'!$B$22,Lists!$C$20&lt;'設定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Settings'!$A$23=H$4),Lists!$C$20&gt;='設定 Settings'!$B$23,Lists!$C$20&lt;'設定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Settings'!$A$24=H$4),Lists!$C$20&gt;='設定 Settings'!$B$24,Lists!$C$20&lt;'設定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Settings'!$A$25=H$4),Lists!$C$20&gt;='設定 Settings'!$B$25,Lists!$C$20&lt;'設定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Settings'!$A$26=H$4),Lists!$C$20&gt;='設定 Settings'!$B$26,Lists!$C$20&lt;'設定 Settings'!$C$26),'設定 Settings'!$D$26,0))</f>
        <v/>
      </c>
    </row>
    <row r="24">
      <c r="A24" s="22" t="inlineStr">
        <is>
          <t>7:15pm-7:45pm</t>
        </is>
      </c>
      <c r="B24" s="23">
        <f>IF(B80="Work",1,0)+IF(B108="Work",1,0)+IF(B136="Work",1,0)+IF(B164="Work",1,0)+IF(B192="Work",1,0)</f>
        <v/>
      </c>
      <c r="C24" s="23">
        <f>IF(C80="Work",1,0)+IF(C108="Work",1,0)+IF(C136="Work",1,0)+IF(C164="Work",1,0)+IF(C192="Work",1,0)</f>
        <v/>
      </c>
      <c r="D24" s="23">
        <f>IF(D80="Work",1,0)+IF(D108="Work",1,0)+IF(D136="Work",1,0)+IF(D164="Work",1,0)+IF(D192="Work",1,0)</f>
        <v/>
      </c>
      <c r="E24" s="23">
        <f>IF(E80="Work",1,0)+IF(E108="Work",1,0)+IF(E136="Work",1,0)+IF(E164="Work",1,0)+IF(E192="Work",1,0)</f>
        <v/>
      </c>
      <c r="F24" s="23">
        <f>IF(F80="Work",1,0)+IF(F108="Work",1,0)+IF(F136="Work",1,0)+IF(F164="Work",1,0)+IF(F192="Work",1,0)</f>
        <v/>
      </c>
      <c r="G24" s="23">
        <f>IF(G80="Work",1,0)+IF(G108="Work",1,0)+IF(G136="Work",1,0)+IF(G164="Work",1,0)+IF(G192="Work",1,0)</f>
        <v/>
      </c>
      <c r="H24" s="23">
        <f>IF(H80="Work",1,0)+IF(H108="Work",1,0)+IF(H136="Work",1,0)+IF(H164="Work",1,0)+IF(H192="Work",1,0)</f>
        <v/>
      </c>
      <c r="Z24">
        <f>MAX('設定 Settings'!$B$17,IF(AND(OR('設定 Settings'!$A$21="全部",AND('設定 Settings'!$A$21="平日",NOT(OR(B$4="星期六",B$4="星期日"))),AND('設定 Settings'!$A$21="週末",OR(B$4="星期六",B$4="星期日")),'設定 Settings'!$A$21=B$4),Lists!$C$21&gt;='設定 Settings'!$B$21,Lists!$C$21&lt;'設定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Settings'!$A$22=B$4),Lists!$C$21&gt;='設定 Settings'!$B$22,Lists!$C$21&lt;'設定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Settings'!$A$23=B$4),Lists!$C$21&gt;='設定 Settings'!$B$23,Lists!$C$21&lt;'設定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Settings'!$A$24=B$4),Lists!$C$21&gt;='設定 Settings'!$B$24,Lists!$C$21&lt;'設定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Settings'!$A$25=B$4),Lists!$C$21&gt;='設定 Settings'!$B$25,Lists!$C$21&lt;'設定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Settings'!$A$26=B$4),Lists!$C$21&gt;='設定 Settings'!$B$26,Lists!$C$21&lt;'設定 Settings'!$C$26),'設定 Settings'!$D$26,0))</f>
        <v/>
      </c>
      <c r="AA24">
        <f>MAX('設定 Settings'!$B$17,IF(AND(OR('設定 Settings'!$A$21="全部",AND('設定 Settings'!$A$21="平日",NOT(OR(C$4="星期六",C$4="星期日"))),AND('設定 Settings'!$A$21="週末",OR(C$4="星期六",C$4="星期日")),'設定 Settings'!$A$21=C$4),Lists!$C$21&gt;='設定 Settings'!$B$21,Lists!$C$21&lt;'設定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Settings'!$A$22=C$4),Lists!$C$21&gt;='設定 Settings'!$B$22,Lists!$C$21&lt;'設定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Settings'!$A$23=C$4),Lists!$C$21&gt;='設定 Settings'!$B$23,Lists!$C$21&lt;'設定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Settings'!$A$24=C$4),Lists!$C$21&gt;='設定 Settings'!$B$24,Lists!$C$21&lt;'設定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Settings'!$A$25=C$4),Lists!$C$21&gt;='設定 Settings'!$B$25,Lists!$C$21&lt;'設定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Settings'!$A$26=C$4),Lists!$C$21&gt;='設定 Settings'!$B$26,Lists!$C$21&lt;'設定 Settings'!$C$26),'設定 Settings'!$D$26,0))</f>
        <v/>
      </c>
      <c r="AB24">
        <f>MAX('設定 Settings'!$B$17,IF(AND(OR('設定 Settings'!$A$21="全部",AND('設定 Settings'!$A$21="平日",NOT(OR(D$4="星期六",D$4="星期日"))),AND('設定 Settings'!$A$21="週末",OR(D$4="星期六",D$4="星期日")),'設定 Settings'!$A$21=D$4),Lists!$C$21&gt;='設定 Settings'!$B$21,Lists!$C$21&lt;'設定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Settings'!$A$22=D$4),Lists!$C$21&gt;='設定 Settings'!$B$22,Lists!$C$21&lt;'設定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Settings'!$A$23=D$4),Lists!$C$21&gt;='設定 Settings'!$B$23,Lists!$C$21&lt;'設定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Settings'!$A$24=D$4),Lists!$C$21&gt;='設定 Settings'!$B$24,Lists!$C$21&lt;'設定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Settings'!$A$25=D$4),Lists!$C$21&gt;='設定 Settings'!$B$25,Lists!$C$21&lt;'設定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Settings'!$A$26=D$4),Lists!$C$21&gt;='設定 Settings'!$B$26,Lists!$C$21&lt;'設定 Settings'!$C$26),'設定 Settings'!$D$26,0))</f>
        <v/>
      </c>
      <c r="AC24">
        <f>MAX('設定 Settings'!$B$17,IF(AND(OR('設定 Settings'!$A$21="全部",AND('設定 Settings'!$A$21="平日",NOT(OR(E$4="星期六",E$4="星期日"))),AND('設定 Settings'!$A$21="週末",OR(E$4="星期六",E$4="星期日")),'設定 Settings'!$A$21=E$4),Lists!$C$21&gt;='設定 Settings'!$B$21,Lists!$C$21&lt;'設定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Settings'!$A$22=E$4),Lists!$C$21&gt;='設定 Settings'!$B$22,Lists!$C$21&lt;'設定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Settings'!$A$23=E$4),Lists!$C$21&gt;='設定 Settings'!$B$23,Lists!$C$21&lt;'設定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Settings'!$A$24=E$4),Lists!$C$21&gt;='設定 Settings'!$B$24,Lists!$C$21&lt;'設定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Settings'!$A$25=E$4),Lists!$C$21&gt;='設定 Settings'!$B$25,Lists!$C$21&lt;'設定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Settings'!$A$26=E$4),Lists!$C$21&gt;='設定 Settings'!$B$26,Lists!$C$21&lt;'設定 Settings'!$C$26),'設定 Settings'!$D$26,0))</f>
        <v/>
      </c>
      <c r="AD24">
        <f>MAX('設定 Settings'!$B$17,IF(AND(OR('設定 Settings'!$A$21="全部",AND('設定 Settings'!$A$21="平日",NOT(OR(F$4="星期六",F$4="星期日"))),AND('設定 Settings'!$A$21="週末",OR(F$4="星期六",F$4="星期日")),'設定 Settings'!$A$21=F$4),Lists!$C$21&gt;='設定 Settings'!$B$21,Lists!$C$21&lt;'設定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Settings'!$A$22=F$4),Lists!$C$21&gt;='設定 Settings'!$B$22,Lists!$C$21&lt;'設定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Settings'!$A$23=F$4),Lists!$C$21&gt;='設定 Settings'!$B$23,Lists!$C$21&lt;'設定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Settings'!$A$24=F$4),Lists!$C$21&gt;='設定 Settings'!$B$24,Lists!$C$21&lt;'設定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Settings'!$A$25=F$4),Lists!$C$21&gt;='設定 Settings'!$B$25,Lists!$C$21&lt;'設定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Settings'!$A$26=F$4),Lists!$C$21&gt;='設定 Settings'!$B$26,Lists!$C$21&lt;'設定 Settings'!$C$26),'設定 Settings'!$D$26,0))</f>
        <v/>
      </c>
      <c r="AE24">
        <f>MAX('設定 Settings'!$B$17,IF(AND(OR('設定 Settings'!$A$21="全部",AND('設定 Settings'!$A$21="平日",NOT(OR(G$4="星期六",G$4="星期日"))),AND('設定 Settings'!$A$21="週末",OR(G$4="星期六",G$4="星期日")),'設定 Settings'!$A$21=G$4),Lists!$C$21&gt;='設定 Settings'!$B$21,Lists!$C$21&lt;'設定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Settings'!$A$22=G$4),Lists!$C$21&gt;='設定 Settings'!$B$22,Lists!$C$21&lt;'設定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Settings'!$A$23=G$4),Lists!$C$21&gt;='設定 Settings'!$B$23,Lists!$C$21&lt;'設定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Settings'!$A$24=G$4),Lists!$C$21&gt;='設定 Settings'!$B$24,Lists!$C$21&lt;'設定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Settings'!$A$25=G$4),Lists!$C$21&gt;='設定 Settings'!$B$25,Lists!$C$21&lt;'設定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Settings'!$A$26=G$4),Lists!$C$21&gt;='設定 Settings'!$B$26,Lists!$C$21&lt;'設定 Settings'!$C$26),'設定 Settings'!$D$26,0))</f>
        <v/>
      </c>
      <c r="AF24">
        <f>MAX('設定 Settings'!$B$17,IF(AND(OR('設定 Settings'!$A$21="全部",AND('設定 Settings'!$A$21="平日",NOT(OR(H$4="星期六",H$4="星期日"))),AND('設定 Settings'!$A$21="週末",OR(H$4="星期六",H$4="星期日")),'設定 Settings'!$A$21=H$4),Lists!$C$21&gt;='設定 Settings'!$B$21,Lists!$C$21&lt;'設定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Settings'!$A$22=H$4),Lists!$C$21&gt;='設定 Settings'!$B$22,Lists!$C$21&lt;'設定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Settings'!$A$23=H$4),Lists!$C$21&gt;='設定 Settings'!$B$23,Lists!$C$21&lt;'設定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Settings'!$A$24=H$4),Lists!$C$21&gt;='設定 Settings'!$B$24,Lists!$C$21&lt;'設定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Settings'!$A$25=H$4),Lists!$C$21&gt;='設定 Settings'!$B$25,Lists!$C$21&lt;'設定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Settings'!$A$26=H$4),Lists!$C$21&gt;='設定 Settings'!$B$26,Lists!$C$21&lt;'設定 Settings'!$C$26),'設定 Settings'!$D$26,0))</f>
        <v/>
      </c>
    </row>
    <row r="25">
      <c r="A25" s="22" t="inlineStr">
        <is>
          <t>7:45pm-8:15pm</t>
        </is>
      </c>
      <c r="B25" s="23">
        <f>IF(B81="Work",1,0)+IF(B109="Work",1,0)+IF(B137="Work",1,0)+IF(B165="Work",1,0)+IF(B193="Work",1,0)</f>
        <v/>
      </c>
      <c r="C25" s="23">
        <f>IF(C81="Work",1,0)+IF(C109="Work",1,0)+IF(C137="Work",1,0)+IF(C165="Work",1,0)+IF(C193="Work",1,0)</f>
        <v/>
      </c>
      <c r="D25" s="23">
        <f>IF(D81="Work",1,0)+IF(D109="Work",1,0)+IF(D137="Work",1,0)+IF(D165="Work",1,0)+IF(D193="Work",1,0)</f>
        <v/>
      </c>
      <c r="E25" s="23">
        <f>IF(E81="Work",1,0)+IF(E109="Work",1,0)+IF(E137="Work",1,0)+IF(E165="Work",1,0)+IF(E193="Work",1,0)</f>
        <v/>
      </c>
      <c r="F25" s="23">
        <f>IF(F81="Work",1,0)+IF(F109="Work",1,0)+IF(F137="Work",1,0)+IF(F165="Work",1,0)+IF(F193="Work",1,0)</f>
        <v/>
      </c>
      <c r="G25" s="23">
        <f>IF(G81="Work",1,0)+IF(G109="Work",1,0)+IF(G137="Work",1,0)+IF(G165="Work",1,0)+IF(G193="Work",1,0)</f>
        <v/>
      </c>
      <c r="H25" s="23">
        <f>IF(H81="Work",1,0)+IF(H109="Work",1,0)+IF(H137="Work",1,0)+IF(H165="Work",1,0)+IF(H193="Work",1,0)</f>
        <v/>
      </c>
      <c r="Z25">
        <f>MAX('設定 Settings'!$B$17,IF(AND(OR('設定 Settings'!$A$21="全部",AND('設定 Settings'!$A$21="平日",NOT(OR(B$4="星期六",B$4="星期日"))),AND('設定 Settings'!$A$21="週末",OR(B$4="星期六",B$4="星期日")),'設定 Settings'!$A$21=B$4),Lists!$C$22&gt;='設定 Settings'!$B$21,Lists!$C$22&lt;'設定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Settings'!$A$22=B$4),Lists!$C$22&gt;='設定 Settings'!$B$22,Lists!$C$22&lt;'設定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Settings'!$A$23=B$4),Lists!$C$22&gt;='設定 Settings'!$B$23,Lists!$C$22&lt;'設定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Settings'!$A$24=B$4),Lists!$C$22&gt;='設定 Settings'!$B$24,Lists!$C$22&lt;'設定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Settings'!$A$25=B$4),Lists!$C$22&gt;='設定 Settings'!$B$25,Lists!$C$22&lt;'設定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Settings'!$A$26=B$4),Lists!$C$22&gt;='設定 Settings'!$B$26,Lists!$C$22&lt;'設定 Settings'!$C$26),'設定 Settings'!$D$26,0))</f>
        <v/>
      </c>
      <c r="AA25">
        <f>MAX('設定 Settings'!$B$17,IF(AND(OR('設定 Settings'!$A$21="全部",AND('設定 Settings'!$A$21="平日",NOT(OR(C$4="星期六",C$4="星期日"))),AND('設定 Settings'!$A$21="週末",OR(C$4="星期六",C$4="星期日")),'設定 Settings'!$A$21=C$4),Lists!$C$22&gt;='設定 Settings'!$B$21,Lists!$C$22&lt;'設定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Settings'!$A$22=C$4),Lists!$C$22&gt;='設定 Settings'!$B$22,Lists!$C$22&lt;'設定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Settings'!$A$23=C$4),Lists!$C$22&gt;='設定 Settings'!$B$23,Lists!$C$22&lt;'設定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Settings'!$A$24=C$4),Lists!$C$22&gt;='設定 Settings'!$B$24,Lists!$C$22&lt;'設定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Settings'!$A$25=C$4),Lists!$C$22&gt;='設定 Settings'!$B$25,Lists!$C$22&lt;'設定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Settings'!$A$26=C$4),Lists!$C$22&gt;='設定 Settings'!$B$26,Lists!$C$22&lt;'設定 Settings'!$C$26),'設定 Settings'!$D$26,0))</f>
        <v/>
      </c>
      <c r="AB25">
        <f>MAX('設定 Settings'!$B$17,IF(AND(OR('設定 Settings'!$A$21="全部",AND('設定 Settings'!$A$21="平日",NOT(OR(D$4="星期六",D$4="星期日"))),AND('設定 Settings'!$A$21="週末",OR(D$4="星期六",D$4="星期日")),'設定 Settings'!$A$21=D$4),Lists!$C$22&gt;='設定 Settings'!$B$21,Lists!$C$22&lt;'設定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Settings'!$A$22=D$4),Lists!$C$22&gt;='設定 Settings'!$B$22,Lists!$C$22&lt;'設定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Settings'!$A$23=D$4),Lists!$C$22&gt;='設定 Settings'!$B$23,Lists!$C$22&lt;'設定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Settings'!$A$24=D$4),Lists!$C$22&gt;='設定 Settings'!$B$24,Lists!$C$22&lt;'設定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Settings'!$A$25=D$4),Lists!$C$22&gt;='設定 Settings'!$B$25,Lists!$C$22&lt;'設定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Settings'!$A$26=D$4),Lists!$C$22&gt;='設定 Settings'!$B$26,Lists!$C$22&lt;'設定 Settings'!$C$26),'設定 Settings'!$D$26,0))</f>
        <v/>
      </c>
      <c r="AC25">
        <f>MAX('設定 Settings'!$B$17,IF(AND(OR('設定 Settings'!$A$21="全部",AND('設定 Settings'!$A$21="平日",NOT(OR(E$4="星期六",E$4="星期日"))),AND('設定 Settings'!$A$21="週末",OR(E$4="星期六",E$4="星期日")),'設定 Settings'!$A$21=E$4),Lists!$C$22&gt;='設定 Settings'!$B$21,Lists!$C$22&lt;'設定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Settings'!$A$22=E$4),Lists!$C$22&gt;='設定 Settings'!$B$22,Lists!$C$22&lt;'設定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Settings'!$A$23=E$4),Lists!$C$22&gt;='設定 Settings'!$B$23,Lists!$C$22&lt;'設定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Settings'!$A$24=E$4),Lists!$C$22&gt;='設定 Settings'!$B$24,Lists!$C$22&lt;'設定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Settings'!$A$25=E$4),Lists!$C$22&gt;='設定 Settings'!$B$25,Lists!$C$22&lt;'設定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Settings'!$A$26=E$4),Lists!$C$22&gt;='設定 Settings'!$B$26,Lists!$C$22&lt;'設定 Settings'!$C$26),'設定 Settings'!$D$26,0))</f>
        <v/>
      </c>
      <c r="AD25">
        <f>MAX('設定 Settings'!$B$17,IF(AND(OR('設定 Settings'!$A$21="全部",AND('設定 Settings'!$A$21="平日",NOT(OR(F$4="星期六",F$4="星期日"))),AND('設定 Settings'!$A$21="週末",OR(F$4="星期六",F$4="星期日")),'設定 Settings'!$A$21=F$4),Lists!$C$22&gt;='設定 Settings'!$B$21,Lists!$C$22&lt;'設定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Settings'!$A$22=F$4),Lists!$C$22&gt;='設定 Settings'!$B$22,Lists!$C$22&lt;'設定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Settings'!$A$23=F$4),Lists!$C$22&gt;='設定 Settings'!$B$23,Lists!$C$22&lt;'設定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Settings'!$A$24=F$4),Lists!$C$22&gt;='設定 Settings'!$B$24,Lists!$C$22&lt;'設定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Settings'!$A$25=F$4),Lists!$C$22&gt;='設定 Settings'!$B$25,Lists!$C$22&lt;'設定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Settings'!$A$26=F$4),Lists!$C$22&gt;='設定 Settings'!$B$26,Lists!$C$22&lt;'設定 Settings'!$C$26),'設定 Settings'!$D$26,0))</f>
        <v/>
      </c>
      <c r="AE25">
        <f>MAX('設定 Settings'!$B$17,IF(AND(OR('設定 Settings'!$A$21="全部",AND('設定 Settings'!$A$21="平日",NOT(OR(G$4="星期六",G$4="星期日"))),AND('設定 Settings'!$A$21="週末",OR(G$4="星期六",G$4="星期日")),'設定 Settings'!$A$21=G$4),Lists!$C$22&gt;='設定 Settings'!$B$21,Lists!$C$22&lt;'設定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Settings'!$A$22=G$4),Lists!$C$22&gt;='設定 Settings'!$B$22,Lists!$C$22&lt;'設定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Settings'!$A$23=G$4),Lists!$C$22&gt;='設定 Settings'!$B$23,Lists!$C$22&lt;'設定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Settings'!$A$24=G$4),Lists!$C$22&gt;='設定 Settings'!$B$24,Lists!$C$22&lt;'設定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Settings'!$A$25=G$4),Lists!$C$22&gt;='設定 Settings'!$B$25,Lists!$C$22&lt;'設定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Settings'!$A$26=G$4),Lists!$C$22&gt;='設定 Settings'!$B$26,Lists!$C$22&lt;'設定 Settings'!$C$26),'設定 Settings'!$D$26,0))</f>
        <v/>
      </c>
      <c r="AF25">
        <f>MAX('設定 Settings'!$B$17,IF(AND(OR('設定 Settings'!$A$21="全部",AND('設定 Settings'!$A$21="平日",NOT(OR(H$4="星期六",H$4="星期日"))),AND('設定 Settings'!$A$21="週末",OR(H$4="星期六",H$4="星期日")),'設定 Settings'!$A$21=H$4),Lists!$C$22&gt;='設定 Settings'!$B$21,Lists!$C$22&lt;'設定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Settings'!$A$22=H$4),Lists!$C$22&gt;='設定 Settings'!$B$22,Lists!$C$22&lt;'設定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Settings'!$A$23=H$4),Lists!$C$22&gt;='設定 Settings'!$B$23,Lists!$C$22&lt;'設定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Settings'!$A$24=H$4),Lists!$C$22&gt;='設定 Settings'!$B$24,Lists!$C$22&lt;'設定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Settings'!$A$25=H$4),Lists!$C$22&gt;='設定 Settings'!$B$25,Lists!$C$22&lt;'設定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Settings'!$A$26=H$4),Lists!$C$22&gt;='設定 Settings'!$B$26,Lists!$C$22&lt;'設定 Settings'!$C$26),'設定 Settings'!$D$26,0))</f>
        <v/>
      </c>
    </row>
    <row r="26">
      <c r="A26" s="22" t="inlineStr">
        <is>
          <t>8:15pm-8:45pm</t>
        </is>
      </c>
      <c r="B26" s="23">
        <f>IF(B82="Work",1,0)+IF(B110="Work",1,0)+IF(B138="Work",1,0)+IF(B166="Work",1,0)+IF(B194="Work",1,0)</f>
        <v/>
      </c>
      <c r="C26" s="23">
        <f>IF(C82="Work",1,0)+IF(C110="Work",1,0)+IF(C138="Work",1,0)+IF(C166="Work",1,0)+IF(C194="Work",1,0)</f>
        <v/>
      </c>
      <c r="D26" s="23">
        <f>IF(D82="Work",1,0)+IF(D110="Work",1,0)+IF(D138="Work",1,0)+IF(D166="Work",1,0)+IF(D194="Work",1,0)</f>
        <v/>
      </c>
      <c r="E26" s="23">
        <f>IF(E82="Work",1,0)+IF(E110="Work",1,0)+IF(E138="Work",1,0)+IF(E166="Work",1,0)+IF(E194="Work",1,0)</f>
        <v/>
      </c>
      <c r="F26" s="23">
        <f>IF(F82="Work",1,0)+IF(F110="Work",1,0)+IF(F138="Work",1,0)+IF(F166="Work",1,0)+IF(F194="Work",1,0)</f>
        <v/>
      </c>
      <c r="G26" s="23">
        <f>IF(G82="Work",1,0)+IF(G110="Work",1,0)+IF(G138="Work",1,0)+IF(G166="Work",1,0)+IF(G194="Work",1,0)</f>
        <v/>
      </c>
      <c r="H26" s="23">
        <f>IF(H82="Work",1,0)+IF(H110="Work",1,0)+IF(H138="Work",1,0)+IF(H166="Work",1,0)+IF(H194="Work",1,0)</f>
        <v/>
      </c>
      <c r="Z26">
        <f>MAX('設定 Settings'!$B$17,IF(AND(OR('設定 Settings'!$A$21="全部",AND('設定 Settings'!$A$21="平日",NOT(OR(B$4="星期六",B$4="星期日"))),AND('設定 Settings'!$A$21="週末",OR(B$4="星期六",B$4="星期日")),'設定 Settings'!$A$21=B$4),Lists!$C$23&gt;='設定 Settings'!$B$21,Lists!$C$23&lt;'設定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Settings'!$A$22=B$4),Lists!$C$23&gt;='設定 Settings'!$B$22,Lists!$C$23&lt;'設定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Settings'!$A$23=B$4),Lists!$C$23&gt;='設定 Settings'!$B$23,Lists!$C$23&lt;'設定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Settings'!$A$24=B$4),Lists!$C$23&gt;='設定 Settings'!$B$24,Lists!$C$23&lt;'設定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Settings'!$A$25=B$4),Lists!$C$23&gt;='設定 Settings'!$B$25,Lists!$C$23&lt;'設定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Settings'!$A$26=B$4),Lists!$C$23&gt;='設定 Settings'!$B$26,Lists!$C$23&lt;'設定 Settings'!$C$26),'設定 Settings'!$D$26,0))</f>
        <v/>
      </c>
      <c r="AA26">
        <f>MAX('設定 Settings'!$B$17,IF(AND(OR('設定 Settings'!$A$21="全部",AND('設定 Settings'!$A$21="平日",NOT(OR(C$4="星期六",C$4="星期日"))),AND('設定 Settings'!$A$21="週末",OR(C$4="星期六",C$4="星期日")),'設定 Settings'!$A$21=C$4),Lists!$C$23&gt;='設定 Settings'!$B$21,Lists!$C$23&lt;'設定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Settings'!$A$22=C$4),Lists!$C$23&gt;='設定 Settings'!$B$22,Lists!$C$23&lt;'設定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Settings'!$A$23=C$4),Lists!$C$23&gt;='設定 Settings'!$B$23,Lists!$C$23&lt;'設定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Settings'!$A$24=C$4),Lists!$C$23&gt;='設定 Settings'!$B$24,Lists!$C$23&lt;'設定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Settings'!$A$25=C$4),Lists!$C$23&gt;='設定 Settings'!$B$25,Lists!$C$23&lt;'設定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Settings'!$A$26=C$4),Lists!$C$23&gt;='設定 Settings'!$B$26,Lists!$C$23&lt;'設定 Settings'!$C$26),'設定 Settings'!$D$26,0))</f>
        <v/>
      </c>
      <c r="AB26">
        <f>MAX('設定 Settings'!$B$17,IF(AND(OR('設定 Settings'!$A$21="全部",AND('設定 Settings'!$A$21="平日",NOT(OR(D$4="星期六",D$4="星期日"))),AND('設定 Settings'!$A$21="週末",OR(D$4="星期六",D$4="星期日")),'設定 Settings'!$A$21=D$4),Lists!$C$23&gt;='設定 Settings'!$B$21,Lists!$C$23&lt;'設定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Settings'!$A$22=D$4),Lists!$C$23&gt;='設定 Settings'!$B$22,Lists!$C$23&lt;'設定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Settings'!$A$23=D$4),Lists!$C$23&gt;='設定 Settings'!$B$23,Lists!$C$23&lt;'設定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Settings'!$A$24=D$4),Lists!$C$23&gt;='設定 Settings'!$B$24,Lists!$C$23&lt;'設定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Settings'!$A$25=D$4),Lists!$C$23&gt;='設定 Settings'!$B$25,Lists!$C$23&lt;'設定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Settings'!$A$26=D$4),Lists!$C$23&gt;='設定 Settings'!$B$26,Lists!$C$23&lt;'設定 Settings'!$C$26),'設定 Settings'!$D$26,0))</f>
        <v/>
      </c>
      <c r="AC26">
        <f>MAX('設定 Settings'!$B$17,IF(AND(OR('設定 Settings'!$A$21="全部",AND('設定 Settings'!$A$21="平日",NOT(OR(E$4="星期六",E$4="星期日"))),AND('設定 Settings'!$A$21="週末",OR(E$4="星期六",E$4="星期日")),'設定 Settings'!$A$21=E$4),Lists!$C$23&gt;='設定 Settings'!$B$21,Lists!$C$23&lt;'設定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Settings'!$A$22=E$4),Lists!$C$23&gt;='設定 Settings'!$B$22,Lists!$C$23&lt;'設定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Settings'!$A$23=E$4),Lists!$C$23&gt;='設定 Settings'!$B$23,Lists!$C$23&lt;'設定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Settings'!$A$24=E$4),Lists!$C$23&gt;='設定 Settings'!$B$24,Lists!$C$23&lt;'設定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Settings'!$A$25=E$4),Lists!$C$23&gt;='設定 Settings'!$B$25,Lists!$C$23&lt;'設定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Settings'!$A$26=E$4),Lists!$C$23&gt;='設定 Settings'!$B$26,Lists!$C$23&lt;'設定 Settings'!$C$26),'設定 Settings'!$D$26,0))</f>
        <v/>
      </c>
      <c r="AD26">
        <f>MAX('設定 Settings'!$B$17,IF(AND(OR('設定 Settings'!$A$21="全部",AND('設定 Settings'!$A$21="平日",NOT(OR(F$4="星期六",F$4="星期日"))),AND('設定 Settings'!$A$21="週末",OR(F$4="星期六",F$4="星期日")),'設定 Settings'!$A$21=F$4),Lists!$C$23&gt;='設定 Settings'!$B$21,Lists!$C$23&lt;'設定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Settings'!$A$22=F$4),Lists!$C$23&gt;='設定 Settings'!$B$22,Lists!$C$23&lt;'設定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Settings'!$A$23=F$4),Lists!$C$23&gt;='設定 Settings'!$B$23,Lists!$C$23&lt;'設定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Settings'!$A$24=F$4),Lists!$C$23&gt;='設定 Settings'!$B$24,Lists!$C$23&lt;'設定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Settings'!$A$25=F$4),Lists!$C$23&gt;='設定 Settings'!$B$25,Lists!$C$23&lt;'設定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Settings'!$A$26=F$4),Lists!$C$23&gt;='設定 Settings'!$B$26,Lists!$C$23&lt;'設定 Settings'!$C$26),'設定 Settings'!$D$26,0))</f>
        <v/>
      </c>
      <c r="AE26">
        <f>MAX('設定 Settings'!$B$17,IF(AND(OR('設定 Settings'!$A$21="全部",AND('設定 Settings'!$A$21="平日",NOT(OR(G$4="星期六",G$4="星期日"))),AND('設定 Settings'!$A$21="週末",OR(G$4="星期六",G$4="星期日")),'設定 Settings'!$A$21=G$4),Lists!$C$23&gt;='設定 Settings'!$B$21,Lists!$C$23&lt;'設定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Settings'!$A$22=G$4),Lists!$C$23&gt;='設定 Settings'!$B$22,Lists!$C$23&lt;'設定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Settings'!$A$23=G$4),Lists!$C$23&gt;='設定 Settings'!$B$23,Lists!$C$23&lt;'設定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Settings'!$A$24=G$4),Lists!$C$23&gt;='設定 Settings'!$B$24,Lists!$C$23&lt;'設定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Settings'!$A$25=G$4),Lists!$C$23&gt;='設定 Settings'!$B$25,Lists!$C$23&lt;'設定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Settings'!$A$26=G$4),Lists!$C$23&gt;='設定 Settings'!$B$26,Lists!$C$23&lt;'設定 Settings'!$C$26),'設定 Settings'!$D$26,0))</f>
        <v/>
      </c>
      <c r="AF26">
        <f>MAX('設定 Settings'!$B$17,IF(AND(OR('設定 Settings'!$A$21="全部",AND('設定 Settings'!$A$21="平日",NOT(OR(H$4="星期六",H$4="星期日"))),AND('設定 Settings'!$A$21="週末",OR(H$4="星期六",H$4="星期日")),'設定 Settings'!$A$21=H$4),Lists!$C$23&gt;='設定 Settings'!$B$21,Lists!$C$23&lt;'設定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Settings'!$A$22=H$4),Lists!$C$23&gt;='設定 Settings'!$B$22,Lists!$C$23&lt;'設定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Settings'!$A$23=H$4),Lists!$C$23&gt;='設定 Settings'!$B$23,Lists!$C$23&lt;'設定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Settings'!$A$24=H$4),Lists!$C$23&gt;='設定 Settings'!$B$24,Lists!$C$23&lt;'設定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Settings'!$A$25=H$4),Lists!$C$23&gt;='設定 Settings'!$B$25,Lists!$C$23&lt;'設定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Settings'!$A$26=H$4),Lists!$C$23&gt;='設定 Settings'!$B$26,Lists!$C$23&lt;'設定 Settings'!$C$26),'設定 Settings'!$D$26,0))</f>
        <v/>
      </c>
    </row>
    <row r="27">
      <c r="A27" s="22" t="inlineStr">
        <is>
          <t>8:45pm-9:15pm</t>
        </is>
      </c>
      <c r="B27" s="23">
        <f>IF(B83="Work",1,0)+IF(B111="Work",1,0)+IF(B139="Work",1,0)+IF(B167="Work",1,0)+IF(B195="Work",1,0)</f>
        <v/>
      </c>
      <c r="C27" s="23">
        <f>IF(C83="Work",1,0)+IF(C111="Work",1,0)+IF(C139="Work",1,0)+IF(C167="Work",1,0)+IF(C195="Work",1,0)</f>
        <v/>
      </c>
      <c r="D27" s="23">
        <f>IF(D83="Work",1,0)+IF(D111="Work",1,0)+IF(D139="Work",1,0)+IF(D167="Work",1,0)+IF(D195="Work",1,0)</f>
        <v/>
      </c>
      <c r="E27" s="23">
        <f>IF(E83="Work",1,0)+IF(E111="Work",1,0)+IF(E139="Work",1,0)+IF(E167="Work",1,0)+IF(E195="Work",1,0)</f>
        <v/>
      </c>
      <c r="F27" s="23">
        <f>IF(F83="Work",1,0)+IF(F111="Work",1,0)+IF(F139="Work",1,0)+IF(F167="Work",1,0)+IF(F195="Work",1,0)</f>
        <v/>
      </c>
      <c r="G27" s="23">
        <f>IF(G83="Work",1,0)+IF(G111="Work",1,0)+IF(G139="Work",1,0)+IF(G167="Work",1,0)+IF(G195="Work",1,0)</f>
        <v/>
      </c>
      <c r="H27" s="23">
        <f>IF(H83="Work",1,0)+IF(H111="Work",1,0)+IF(H139="Work",1,0)+IF(H167="Work",1,0)+IF(H195="Work",1,0)</f>
        <v/>
      </c>
      <c r="Z27">
        <f>MAX('設定 Settings'!$B$17,IF(AND(OR('設定 Settings'!$A$21="全部",AND('設定 Settings'!$A$21="平日",NOT(OR(B$4="星期六",B$4="星期日"))),AND('設定 Settings'!$A$21="週末",OR(B$4="星期六",B$4="星期日")),'設定 Settings'!$A$21=B$4),Lists!$C$24&gt;='設定 Settings'!$B$21,Lists!$C$24&lt;'設定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Settings'!$A$22=B$4),Lists!$C$24&gt;='設定 Settings'!$B$22,Lists!$C$24&lt;'設定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Settings'!$A$23=B$4),Lists!$C$24&gt;='設定 Settings'!$B$23,Lists!$C$24&lt;'設定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Settings'!$A$24=B$4),Lists!$C$24&gt;='設定 Settings'!$B$24,Lists!$C$24&lt;'設定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Settings'!$A$25=B$4),Lists!$C$24&gt;='設定 Settings'!$B$25,Lists!$C$24&lt;'設定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Settings'!$A$26=B$4),Lists!$C$24&gt;='設定 Settings'!$B$26,Lists!$C$24&lt;'設定 Settings'!$C$26),'設定 Settings'!$D$26,0))</f>
        <v/>
      </c>
      <c r="AA27">
        <f>MAX('設定 Settings'!$B$17,IF(AND(OR('設定 Settings'!$A$21="全部",AND('設定 Settings'!$A$21="平日",NOT(OR(C$4="星期六",C$4="星期日"))),AND('設定 Settings'!$A$21="週末",OR(C$4="星期六",C$4="星期日")),'設定 Settings'!$A$21=C$4),Lists!$C$24&gt;='設定 Settings'!$B$21,Lists!$C$24&lt;'設定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Settings'!$A$22=C$4),Lists!$C$24&gt;='設定 Settings'!$B$22,Lists!$C$24&lt;'設定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Settings'!$A$23=C$4),Lists!$C$24&gt;='設定 Settings'!$B$23,Lists!$C$24&lt;'設定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Settings'!$A$24=C$4),Lists!$C$24&gt;='設定 Settings'!$B$24,Lists!$C$24&lt;'設定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Settings'!$A$25=C$4),Lists!$C$24&gt;='設定 Settings'!$B$25,Lists!$C$24&lt;'設定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Settings'!$A$26=C$4),Lists!$C$24&gt;='設定 Settings'!$B$26,Lists!$C$24&lt;'設定 Settings'!$C$26),'設定 Settings'!$D$26,0))</f>
        <v/>
      </c>
      <c r="AB27">
        <f>MAX('設定 Settings'!$B$17,IF(AND(OR('設定 Settings'!$A$21="全部",AND('設定 Settings'!$A$21="平日",NOT(OR(D$4="星期六",D$4="星期日"))),AND('設定 Settings'!$A$21="週末",OR(D$4="星期六",D$4="星期日")),'設定 Settings'!$A$21=D$4),Lists!$C$24&gt;='設定 Settings'!$B$21,Lists!$C$24&lt;'設定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Settings'!$A$22=D$4),Lists!$C$24&gt;='設定 Settings'!$B$22,Lists!$C$24&lt;'設定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Settings'!$A$23=D$4),Lists!$C$24&gt;='設定 Settings'!$B$23,Lists!$C$24&lt;'設定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Settings'!$A$24=D$4),Lists!$C$24&gt;='設定 Settings'!$B$24,Lists!$C$24&lt;'設定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Settings'!$A$25=D$4),Lists!$C$24&gt;='設定 Settings'!$B$25,Lists!$C$24&lt;'設定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Settings'!$A$26=D$4),Lists!$C$24&gt;='設定 Settings'!$B$26,Lists!$C$24&lt;'設定 Settings'!$C$26),'設定 Settings'!$D$26,0))</f>
        <v/>
      </c>
      <c r="AC27">
        <f>MAX('設定 Settings'!$B$17,IF(AND(OR('設定 Settings'!$A$21="全部",AND('設定 Settings'!$A$21="平日",NOT(OR(E$4="星期六",E$4="星期日"))),AND('設定 Settings'!$A$21="週末",OR(E$4="星期六",E$4="星期日")),'設定 Settings'!$A$21=E$4),Lists!$C$24&gt;='設定 Settings'!$B$21,Lists!$C$24&lt;'設定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Settings'!$A$22=E$4),Lists!$C$24&gt;='設定 Settings'!$B$22,Lists!$C$24&lt;'設定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Settings'!$A$23=E$4),Lists!$C$24&gt;='設定 Settings'!$B$23,Lists!$C$24&lt;'設定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Settings'!$A$24=E$4),Lists!$C$24&gt;='設定 Settings'!$B$24,Lists!$C$24&lt;'設定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Settings'!$A$25=E$4),Lists!$C$24&gt;='設定 Settings'!$B$25,Lists!$C$24&lt;'設定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Settings'!$A$26=E$4),Lists!$C$24&gt;='設定 Settings'!$B$26,Lists!$C$24&lt;'設定 Settings'!$C$26),'設定 Settings'!$D$26,0))</f>
        <v/>
      </c>
      <c r="AD27">
        <f>MAX('設定 Settings'!$B$17,IF(AND(OR('設定 Settings'!$A$21="全部",AND('設定 Settings'!$A$21="平日",NOT(OR(F$4="星期六",F$4="星期日"))),AND('設定 Settings'!$A$21="週末",OR(F$4="星期六",F$4="星期日")),'設定 Settings'!$A$21=F$4),Lists!$C$24&gt;='設定 Settings'!$B$21,Lists!$C$24&lt;'設定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Settings'!$A$22=F$4),Lists!$C$24&gt;='設定 Settings'!$B$22,Lists!$C$24&lt;'設定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Settings'!$A$23=F$4),Lists!$C$24&gt;='設定 Settings'!$B$23,Lists!$C$24&lt;'設定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Settings'!$A$24=F$4),Lists!$C$24&gt;='設定 Settings'!$B$24,Lists!$C$24&lt;'設定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Settings'!$A$25=F$4),Lists!$C$24&gt;='設定 Settings'!$B$25,Lists!$C$24&lt;'設定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Settings'!$A$26=F$4),Lists!$C$24&gt;='設定 Settings'!$B$26,Lists!$C$24&lt;'設定 Settings'!$C$26),'設定 Settings'!$D$26,0))</f>
        <v/>
      </c>
      <c r="AE27">
        <f>MAX('設定 Settings'!$B$17,IF(AND(OR('設定 Settings'!$A$21="全部",AND('設定 Settings'!$A$21="平日",NOT(OR(G$4="星期六",G$4="星期日"))),AND('設定 Settings'!$A$21="週末",OR(G$4="星期六",G$4="星期日")),'設定 Settings'!$A$21=G$4),Lists!$C$24&gt;='設定 Settings'!$B$21,Lists!$C$24&lt;'設定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Settings'!$A$22=G$4),Lists!$C$24&gt;='設定 Settings'!$B$22,Lists!$C$24&lt;'設定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Settings'!$A$23=G$4),Lists!$C$24&gt;='設定 Settings'!$B$23,Lists!$C$24&lt;'設定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Settings'!$A$24=G$4),Lists!$C$24&gt;='設定 Settings'!$B$24,Lists!$C$24&lt;'設定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Settings'!$A$25=G$4),Lists!$C$24&gt;='設定 Settings'!$B$25,Lists!$C$24&lt;'設定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Settings'!$A$26=G$4),Lists!$C$24&gt;='設定 Settings'!$B$26,Lists!$C$24&lt;'設定 Settings'!$C$26),'設定 Settings'!$D$26,0))</f>
        <v/>
      </c>
      <c r="AF27">
        <f>MAX('設定 Settings'!$B$17,IF(AND(OR('設定 Settings'!$A$21="全部",AND('設定 Settings'!$A$21="平日",NOT(OR(H$4="星期六",H$4="星期日"))),AND('設定 Settings'!$A$21="週末",OR(H$4="星期六",H$4="星期日")),'設定 Settings'!$A$21=H$4),Lists!$C$24&gt;='設定 Settings'!$B$21,Lists!$C$24&lt;'設定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Settings'!$A$22=H$4),Lists!$C$24&gt;='設定 Settings'!$B$22,Lists!$C$24&lt;'設定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Settings'!$A$23=H$4),Lists!$C$24&gt;='設定 Settings'!$B$23,Lists!$C$24&lt;'設定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Settings'!$A$24=H$4),Lists!$C$24&gt;='設定 Settings'!$B$24,Lists!$C$24&lt;'設定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Settings'!$A$25=H$4),Lists!$C$24&gt;='設定 Settings'!$B$25,Lists!$C$24&lt;'設定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Settings'!$A$26=H$4),Lists!$C$24&gt;='設定 Settings'!$B$26,Lists!$C$24&lt;'設定 Settings'!$C$26),'設定 Settings'!$D$26,0))</f>
        <v/>
      </c>
    </row>
    <row r="28">
      <c r="A28" s="22" t="inlineStr">
        <is>
          <t>9:15pm-9:45pm</t>
        </is>
      </c>
      <c r="B28" s="23">
        <f>IF(B84="Work",1,0)+IF(B112="Work",1,0)+IF(B140="Work",1,0)+IF(B168="Work",1,0)+IF(B196="Work",1,0)</f>
        <v/>
      </c>
      <c r="C28" s="23">
        <f>IF(C84="Work",1,0)+IF(C112="Work",1,0)+IF(C140="Work",1,0)+IF(C168="Work",1,0)+IF(C196="Work",1,0)</f>
        <v/>
      </c>
      <c r="D28" s="23">
        <f>IF(D84="Work",1,0)+IF(D112="Work",1,0)+IF(D140="Work",1,0)+IF(D168="Work",1,0)+IF(D196="Work",1,0)</f>
        <v/>
      </c>
      <c r="E28" s="23">
        <f>IF(E84="Work",1,0)+IF(E112="Work",1,0)+IF(E140="Work",1,0)+IF(E168="Work",1,0)+IF(E196="Work",1,0)</f>
        <v/>
      </c>
      <c r="F28" s="23">
        <f>IF(F84="Work",1,0)+IF(F112="Work",1,0)+IF(F140="Work",1,0)+IF(F168="Work",1,0)+IF(F196="Work",1,0)</f>
        <v/>
      </c>
      <c r="G28" s="23">
        <f>IF(G84="Work",1,0)+IF(G112="Work",1,0)+IF(G140="Work",1,0)+IF(G168="Work",1,0)+IF(G196="Work",1,0)</f>
        <v/>
      </c>
      <c r="H28" s="23">
        <f>IF(H84="Work",1,0)+IF(H112="Work",1,0)+IF(H140="Work",1,0)+IF(H168="Work",1,0)+IF(H196="Work",1,0)</f>
        <v/>
      </c>
      <c r="Z28">
        <f>MAX('設定 Settings'!$B$17,IF(AND(OR('設定 Settings'!$A$21="全部",AND('設定 Settings'!$A$21="平日",NOT(OR(B$4="星期六",B$4="星期日"))),AND('設定 Settings'!$A$21="週末",OR(B$4="星期六",B$4="星期日")),'設定 Settings'!$A$21=B$4),Lists!$C$25&gt;='設定 Settings'!$B$21,Lists!$C$25&lt;'設定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Settings'!$A$22=B$4),Lists!$C$25&gt;='設定 Settings'!$B$22,Lists!$C$25&lt;'設定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Settings'!$A$23=B$4),Lists!$C$25&gt;='設定 Settings'!$B$23,Lists!$C$25&lt;'設定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Settings'!$A$24=B$4),Lists!$C$25&gt;='設定 Settings'!$B$24,Lists!$C$25&lt;'設定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Settings'!$A$25=B$4),Lists!$C$25&gt;='設定 Settings'!$B$25,Lists!$C$25&lt;'設定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Settings'!$A$26=B$4),Lists!$C$25&gt;='設定 Settings'!$B$26,Lists!$C$25&lt;'設定 Settings'!$C$26),'設定 Settings'!$D$26,0))</f>
        <v/>
      </c>
      <c r="AA28">
        <f>MAX('設定 Settings'!$B$17,IF(AND(OR('設定 Settings'!$A$21="全部",AND('設定 Settings'!$A$21="平日",NOT(OR(C$4="星期六",C$4="星期日"))),AND('設定 Settings'!$A$21="週末",OR(C$4="星期六",C$4="星期日")),'設定 Settings'!$A$21=C$4),Lists!$C$25&gt;='設定 Settings'!$B$21,Lists!$C$25&lt;'設定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Settings'!$A$22=C$4),Lists!$C$25&gt;='設定 Settings'!$B$22,Lists!$C$25&lt;'設定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Settings'!$A$23=C$4),Lists!$C$25&gt;='設定 Settings'!$B$23,Lists!$C$25&lt;'設定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Settings'!$A$24=C$4),Lists!$C$25&gt;='設定 Settings'!$B$24,Lists!$C$25&lt;'設定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Settings'!$A$25=C$4),Lists!$C$25&gt;='設定 Settings'!$B$25,Lists!$C$25&lt;'設定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Settings'!$A$26=C$4),Lists!$C$25&gt;='設定 Settings'!$B$26,Lists!$C$25&lt;'設定 Settings'!$C$26),'設定 Settings'!$D$26,0))</f>
        <v/>
      </c>
      <c r="AB28">
        <f>MAX('設定 Settings'!$B$17,IF(AND(OR('設定 Settings'!$A$21="全部",AND('設定 Settings'!$A$21="平日",NOT(OR(D$4="星期六",D$4="星期日"))),AND('設定 Settings'!$A$21="週末",OR(D$4="星期六",D$4="星期日")),'設定 Settings'!$A$21=D$4),Lists!$C$25&gt;='設定 Settings'!$B$21,Lists!$C$25&lt;'設定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Settings'!$A$22=D$4),Lists!$C$25&gt;='設定 Settings'!$B$22,Lists!$C$25&lt;'設定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Settings'!$A$23=D$4),Lists!$C$25&gt;='設定 Settings'!$B$23,Lists!$C$25&lt;'設定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Settings'!$A$24=D$4),Lists!$C$25&gt;='設定 Settings'!$B$24,Lists!$C$25&lt;'設定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Settings'!$A$25=D$4),Lists!$C$25&gt;='設定 Settings'!$B$25,Lists!$C$25&lt;'設定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Settings'!$A$26=D$4),Lists!$C$25&gt;='設定 Settings'!$B$26,Lists!$C$25&lt;'設定 Settings'!$C$26),'設定 Settings'!$D$26,0))</f>
        <v/>
      </c>
      <c r="AC28">
        <f>MAX('設定 Settings'!$B$17,IF(AND(OR('設定 Settings'!$A$21="全部",AND('設定 Settings'!$A$21="平日",NOT(OR(E$4="星期六",E$4="星期日"))),AND('設定 Settings'!$A$21="週末",OR(E$4="星期六",E$4="星期日")),'設定 Settings'!$A$21=E$4),Lists!$C$25&gt;='設定 Settings'!$B$21,Lists!$C$25&lt;'設定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Settings'!$A$22=E$4),Lists!$C$25&gt;='設定 Settings'!$B$22,Lists!$C$25&lt;'設定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Settings'!$A$23=E$4),Lists!$C$25&gt;='設定 Settings'!$B$23,Lists!$C$25&lt;'設定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Settings'!$A$24=E$4),Lists!$C$25&gt;='設定 Settings'!$B$24,Lists!$C$25&lt;'設定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Settings'!$A$25=E$4),Lists!$C$25&gt;='設定 Settings'!$B$25,Lists!$C$25&lt;'設定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Settings'!$A$26=E$4),Lists!$C$25&gt;='設定 Settings'!$B$26,Lists!$C$25&lt;'設定 Settings'!$C$26),'設定 Settings'!$D$26,0))</f>
        <v/>
      </c>
      <c r="AD28">
        <f>MAX('設定 Settings'!$B$17,IF(AND(OR('設定 Settings'!$A$21="全部",AND('設定 Settings'!$A$21="平日",NOT(OR(F$4="星期六",F$4="星期日"))),AND('設定 Settings'!$A$21="週末",OR(F$4="星期六",F$4="星期日")),'設定 Settings'!$A$21=F$4),Lists!$C$25&gt;='設定 Settings'!$B$21,Lists!$C$25&lt;'設定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Settings'!$A$22=F$4),Lists!$C$25&gt;='設定 Settings'!$B$22,Lists!$C$25&lt;'設定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Settings'!$A$23=F$4),Lists!$C$25&gt;='設定 Settings'!$B$23,Lists!$C$25&lt;'設定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Settings'!$A$24=F$4),Lists!$C$25&gt;='設定 Settings'!$B$24,Lists!$C$25&lt;'設定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Settings'!$A$25=F$4),Lists!$C$25&gt;='設定 Settings'!$B$25,Lists!$C$25&lt;'設定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Settings'!$A$26=F$4),Lists!$C$25&gt;='設定 Settings'!$B$26,Lists!$C$25&lt;'設定 Settings'!$C$26),'設定 Settings'!$D$26,0))</f>
        <v/>
      </c>
      <c r="AE28">
        <f>MAX('設定 Settings'!$B$17,IF(AND(OR('設定 Settings'!$A$21="全部",AND('設定 Settings'!$A$21="平日",NOT(OR(G$4="星期六",G$4="星期日"))),AND('設定 Settings'!$A$21="週末",OR(G$4="星期六",G$4="星期日")),'設定 Settings'!$A$21=G$4),Lists!$C$25&gt;='設定 Settings'!$B$21,Lists!$C$25&lt;'設定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Settings'!$A$22=G$4),Lists!$C$25&gt;='設定 Settings'!$B$22,Lists!$C$25&lt;'設定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Settings'!$A$23=G$4),Lists!$C$25&gt;='設定 Settings'!$B$23,Lists!$C$25&lt;'設定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Settings'!$A$24=G$4),Lists!$C$25&gt;='設定 Settings'!$B$24,Lists!$C$25&lt;'設定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Settings'!$A$25=G$4),Lists!$C$25&gt;='設定 Settings'!$B$25,Lists!$C$25&lt;'設定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Settings'!$A$26=G$4),Lists!$C$25&gt;='設定 Settings'!$B$26,Lists!$C$25&lt;'設定 Settings'!$C$26),'設定 Settings'!$D$26,0))</f>
        <v/>
      </c>
      <c r="AF28">
        <f>MAX('設定 Settings'!$B$17,IF(AND(OR('設定 Settings'!$A$21="全部",AND('設定 Settings'!$A$21="平日",NOT(OR(H$4="星期六",H$4="星期日"))),AND('設定 Settings'!$A$21="週末",OR(H$4="星期六",H$4="星期日")),'設定 Settings'!$A$21=H$4),Lists!$C$25&gt;='設定 Settings'!$B$21,Lists!$C$25&lt;'設定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Settings'!$A$22=H$4),Lists!$C$25&gt;='設定 Settings'!$B$22,Lists!$C$25&lt;'設定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Settings'!$A$23=H$4),Lists!$C$25&gt;='設定 Settings'!$B$23,Lists!$C$25&lt;'設定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Settings'!$A$24=H$4),Lists!$C$25&gt;='設定 Settings'!$B$24,Lists!$C$25&lt;'設定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Settings'!$A$25=H$4),Lists!$C$25&gt;='設定 Settings'!$B$25,Lists!$C$25&lt;'設定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Settings'!$A$26=H$4),Lists!$C$25&gt;='設定 Settings'!$B$26,Lists!$C$25&lt;'設定 Settings'!$C$26),'設定 Settings'!$D$26,0))</f>
        <v/>
      </c>
    </row>
    <row r="29">
      <c r="A29" s="22" t="inlineStr">
        <is>
          <t>9:45pm-10:15pm</t>
        </is>
      </c>
      <c r="B29" s="23">
        <f>IF(B85="Work",1,0)+IF(B113="Work",1,0)+IF(B141="Work",1,0)+IF(B169="Work",1,0)+IF(B197="Work",1,0)</f>
        <v/>
      </c>
      <c r="C29" s="23">
        <f>IF(C85="Work",1,0)+IF(C113="Work",1,0)+IF(C141="Work",1,0)+IF(C169="Work",1,0)+IF(C197="Work",1,0)</f>
        <v/>
      </c>
      <c r="D29" s="23">
        <f>IF(D85="Work",1,0)+IF(D113="Work",1,0)+IF(D141="Work",1,0)+IF(D169="Work",1,0)+IF(D197="Work",1,0)</f>
        <v/>
      </c>
      <c r="E29" s="23">
        <f>IF(E85="Work",1,0)+IF(E113="Work",1,0)+IF(E141="Work",1,0)+IF(E169="Work",1,0)+IF(E197="Work",1,0)</f>
        <v/>
      </c>
      <c r="F29" s="23">
        <f>IF(F85="Work",1,0)+IF(F113="Work",1,0)+IF(F141="Work",1,0)+IF(F169="Work",1,0)+IF(F197="Work",1,0)</f>
        <v/>
      </c>
      <c r="G29" s="23">
        <f>IF(G85="Work",1,0)+IF(G113="Work",1,0)+IF(G141="Work",1,0)+IF(G169="Work",1,0)+IF(G197="Work",1,0)</f>
        <v/>
      </c>
      <c r="H29" s="23">
        <f>IF(H85="Work",1,0)+IF(H113="Work",1,0)+IF(H141="Work",1,0)+IF(H169="Work",1,0)+IF(H197="Work",1,0)</f>
        <v/>
      </c>
      <c r="Z29">
        <f>MAX('設定 Settings'!$B$17,IF(AND(OR('設定 Settings'!$A$21="全部",AND('設定 Settings'!$A$21="平日",NOT(OR(B$4="星期六",B$4="星期日"))),AND('設定 Settings'!$A$21="週末",OR(B$4="星期六",B$4="星期日")),'設定 Settings'!$A$21=B$4),Lists!$C$26&gt;='設定 Settings'!$B$21,Lists!$C$26&lt;'設定 Settings'!$C$21),'設定 Settings'!$D$21,0),IF(AND(OR('設定 Settings'!$A$22="全部",AND('設定 Settings'!$A$22="平日",NOT(OR(B$4="星期六",B$4="星期日"))),AND('設定 Settings'!$A$22="週末",OR(B$4="星期六",B$4="星期日")),'設定 Settings'!$A$22=B$4),Lists!$C$26&gt;='設定 Settings'!$B$22,Lists!$C$26&lt;'設定 Settings'!$C$22),'設定 Settings'!$D$22,0),IF(AND(OR('設定 Settings'!$A$23="全部",AND('設定 Settings'!$A$23="平日",NOT(OR(B$4="星期六",B$4="星期日"))),AND('設定 Settings'!$A$23="週末",OR(B$4="星期六",B$4="星期日")),'設定 Settings'!$A$23=B$4),Lists!$C$26&gt;='設定 Settings'!$B$23,Lists!$C$26&lt;'設定 Settings'!$C$23),'設定 Settings'!$D$23,0),IF(AND(OR('設定 Settings'!$A$24="全部",AND('設定 Settings'!$A$24="平日",NOT(OR(B$4="星期六",B$4="星期日"))),AND('設定 Settings'!$A$24="週末",OR(B$4="星期六",B$4="星期日")),'設定 Settings'!$A$24=B$4),Lists!$C$26&gt;='設定 Settings'!$B$24,Lists!$C$26&lt;'設定 Settings'!$C$24),'設定 Settings'!$D$24,0),IF(AND(OR('設定 Settings'!$A$25="全部",AND('設定 Settings'!$A$25="平日",NOT(OR(B$4="星期六",B$4="星期日"))),AND('設定 Settings'!$A$25="週末",OR(B$4="星期六",B$4="星期日")),'設定 Settings'!$A$25=B$4),Lists!$C$26&gt;='設定 Settings'!$B$25,Lists!$C$26&lt;'設定 Settings'!$C$25),'設定 Settings'!$D$25,0),IF(AND(OR('設定 Settings'!$A$26="全部",AND('設定 Settings'!$A$26="平日",NOT(OR(B$4="星期六",B$4="星期日"))),AND('設定 Settings'!$A$26="週末",OR(B$4="星期六",B$4="星期日")),'設定 Settings'!$A$26=B$4),Lists!$C$26&gt;='設定 Settings'!$B$26,Lists!$C$26&lt;'設定 Settings'!$C$26),'設定 Settings'!$D$26,0))</f>
        <v/>
      </c>
      <c r="AA29">
        <f>MAX('設定 Settings'!$B$17,IF(AND(OR('設定 Settings'!$A$21="全部",AND('設定 Settings'!$A$21="平日",NOT(OR(C$4="星期六",C$4="星期日"))),AND('設定 Settings'!$A$21="週末",OR(C$4="星期六",C$4="星期日")),'設定 Settings'!$A$21=C$4),Lists!$C$26&gt;='設定 Settings'!$B$21,Lists!$C$26&lt;'設定 Settings'!$C$21),'設定 Settings'!$D$21,0),IF(AND(OR('設定 Settings'!$A$22="全部",AND('設定 Settings'!$A$22="平日",NOT(OR(C$4="星期六",C$4="星期日"))),AND('設定 Settings'!$A$22="週末",OR(C$4="星期六",C$4="星期日")),'設定 Settings'!$A$22=C$4),Lists!$C$26&gt;='設定 Settings'!$B$22,Lists!$C$26&lt;'設定 Settings'!$C$22),'設定 Settings'!$D$22,0),IF(AND(OR('設定 Settings'!$A$23="全部",AND('設定 Settings'!$A$23="平日",NOT(OR(C$4="星期六",C$4="星期日"))),AND('設定 Settings'!$A$23="週末",OR(C$4="星期六",C$4="星期日")),'設定 Settings'!$A$23=C$4),Lists!$C$26&gt;='設定 Settings'!$B$23,Lists!$C$26&lt;'設定 Settings'!$C$23),'設定 Settings'!$D$23,0),IF(AND(OR('設定 Settings'!$A$24="全部",AND('設定 Settings'!$A$24="平日",NOT(OR(C$4="星期六",C$4="星期日"))),AND('設定 Settings'!$A$24="週末",OR(C$4="星期六",C$4="星期日")),'設定 Settings'!$A$24=C$4),Lists!$C$26&gt;='設定 Settings'!$B$24,Lists!$C$26&lt;'設定 Settings'!$C$24),'設定 Settings'!$D$24,0),IF(AND(OR('設定 Settings'!$A$25="全部",AND('設定 Settings'!$A$25="平日",NOT(OR(C$4="星期六",C$4="星期日"))),AND('設定 Settings'!$A$25="週末",OR(C$4="星期六",C$4="星期日")),'設定 Settings'!$A$25=C$4),Lists!$C$26&gt;='設定 Settings'!$B$25,Lists!$C$26&lt;'設定 Settings'!$C$25),'設定 Settings'!$D$25,0),IF(AND(OR('設定 Settings'!$A$26="全部",AND('設定 Settings'!$A$26="平日",NOT(OR(C$4="星期六",C$4="星期日"))),AND('設定 Settings'!$A$26="週末",OR(C$4="星期六",C$4="星期日")),'設定 Settings'!$A$26=C$4),Lists!$C$26&gt;='設定 Settings'!$B$26,Lists!$C$26&lt;'設定 Settings'!$C$26),'設定 Settings'!$D$26,0))</f>
        <v/>
      </c>
      <c r="AB29">
        <f>MAX('設定 Settings'!$B$17,IF(AND(OR('設定 Settings'!$A$21="全部",AND('設定 Settings'!$A$21="平日",NOT(OR(D$4="星期六",D$4="星期日"))),AND('設定 Settings'!$A$21="週末",OR(D$4="星期六",D$4="星期日")),'設定 Settings'!$A$21=D$4),Lists!$C$26&gt;='設定 Settings'!$B$21,Lists!$C$26&lt;'設定 Settings'!$C$21),'設定 Settings'!$D$21,0),IF(AND(OR('設定 Settings'!$A$22="全部",AND('設定 Settings'!$A$22="平日",NOT(OR(D$4="星期六",D$4="星期日"))),AND('設定 Settings'!$A$22="週末",OR(D$4="星期六",D$4="星期日")),'設定 Settings'!$A$22=D$4),Lists!$C$26&gt;='設定 Settings'!$B$22,Lists!$C$26&lt;'設定 Settings'!$C$22),'設定 Settings'!$D$22,0),IF(AND(OR('設定 Settings'!$A$23="全部",AND('設定 Settings'!$A$23="平日",NOT(OR(D$4="星期六",D$4="星期日"))),AND('設定 Settings'!$A$23="週末",OR(D$4="星期六",D$4="星期日")),'設定 Settings'!$A$23=D$4),Lists!$C$26&gt;='設定 Settings'!$B$23,Lists!$C$26&lt;'設定 Settings'!$C$23),'設定 Settings'!$D$23,0),IF(AND(OR('設定 Settings'!$A$24="全部",AND('設定 Settings'!$A$24="平日",NOT(OR(D$4="星期六",D$4="星期日"))),AND('設定 Settings'!$A$24="週末",OR(D$4="星期六",D$4="星期日")),'設定 Settings'!$A$24=D$4),Lists!$C$26&gt;='設定 Settings'!$B$24,Lists!$C$26&lt;'設定 Settings'!$C$24),'設定 Settings'!$D$24,0),IF(AND(OR('設定 Settings'!$A$25="全部",AND('設定 Settings'!$A$25="平日",NOT(OR(D$4="星期六",D$4="星期日"))),AND('設定 Settings'!$A$25="週末",OR(D$4="星期六",D$4="星期日")),'設定 Settings'!$A$25=D$4),Lists!$C$26&gt;='設定 Settings'!$B$25,Lists!$C$26&lt;'設定 Settings'!$C$25),'設定 Settings'!$D$25,0),IF(AND(OR('設定 Settings'!$A$26="全部",AND('設定 Settings'!$A$26="平日",NOT(OR(D$4="星期六",D$4="星期日"))),AND('設定 Settings'!$A$26="週末",OR(D$4="星期六",D$4="星期日")),'設定 Settings'!$A$26=D$4),Lists!$C$26&gt;='設定 Settings'!$B$26,Lists!$C$26&lt;'設定 Settings'!$C$26),'設定 Settings'!$D$26,0))</f>
        <v/>
      </c>
      <c r="AC29">
        <f>MAX('設定 Settings'!$B$17,IF(AND(OR('設定 Settings'!$A$21="全部",AND('設定 Settings'!$A$21="平日",NOT(OR(E$4="星期六",E$4="星期日"))),AND('設定 Settings'!$A$21="週末",OR(E$4="星期六",E$4="星期日")),'設定 Settings'!$A$21=E$4),Lists!$C$26&gt;='設定 Settings'!$B$21,Lists!$C$26&lt;'設定 Settings'!$C$21),'設定 Settings'!$D$21,0),IF(AND(OR('設定 Settings'!$A$22="全部",AND('設定 Settings'!$A$22="平日",NOT(OR(E$4="星期六",E$4="星期日"))),AND('設定 Settings'!$A$22="週末",OR(E$4="星期六",E$4="星期日")),'設定 Settings'!$A$22=E$4),Lists!$C$26&gt;='設定 Settings'!$B$22,Lists!$C$26&lt;'設定 Settings'!$C$22),'設定 Settings'!$D$22,0),IF(AND(OR('設定 Settings'!$A$23="全部",AND('設定 Settings'!$A$23="平日",NOT(OR(E$4="星期六",E$4="星期日"))),AND('設定 Settings'!$A$23="週末",OR(E$4="星期六",E$4="星期日")),'設定 Settings'!$A$23=E$4),Lists!$C$26&gt;='設定 Settings'!$B$23,Lists!$C$26&lt;'設定 Settings'!$C$23),'設定 Settings'!$D$23,0),IF(AND(OR('設定 Settings'!$A$24="全部",AND('設定 Settings'!$A$24="平日",NOT(OR(E$4="星期六",E$4="星期日"))),AND('設定 Settings'!$A$24="週末",OR(E$4="星期六",E$4="星期日")),'設定 Settings'!$A$24=E$4),Lists!$C$26&gt;='設定 Settings'!$B$24,Lists!$C$26&lt;'設定 Settings'!$C$24),'設定 Settings'!$D$24,0),IF(AND(OR('設定 Settings'!$A$25="全部",AND('設定 Settings'!$A$25="平日",NOT(OR(E$4="星期六",E$4="星期日"))),AND('設定 Settings'!$A$25="週末",OR(E$4="星期六",E$4="星期日")),'設定 Settings'!$A$25=E$4),Lists!$C$26&gt;='設定 Settings'!$B$25,Lists!$C$26&lt;'設定 Settings'!$C$25),'設定 Settings'!$D$25,0),IF(AND(OR('設定 Settings'!$A$26="全部",AND('設定 Settings'!$A$26="平日",NOT(OR(E$4="星期六",E$4="星期日"))),AND('設定 Settings'!$A$26="週末",OR(E$4="星期六",E$4="星期日")),'設定 Settings'!$A$26=E$4),Lists!$C$26&gt;='設定 Settings'!$B$26,Lists!$C$26&lt;'設定 Settings'!$C$26),'設定 Settings'!$D$26,0))</f>
        <v/>
      </c>
      <c r="AD29">
        <f>MAX('設定 Settings'!$B$17,IF(AND(OR('設定 Settings'!$A$21="全部",AND('設定 Settings'!$A$21="平日",NOT(OR(F$4="星期六",F$4="星期日"))),AND('設定 Settings'!$A$21="週末",OR(F$4="星期六",F$4="星期日")),'設定 Settings'!$A$21=F$4),Lists!$C$26&gt;='設定 Settings'!$B$21,Lists!$C$26&lt;'設定 Settings'!$C$21),'設定 Settings'!$D$21,0),IF(AND(OR('設定 Settings'!$A$22="全部",AND('設定 Settings'!$A$22="平日",NOT(OR(F$4="星期六",F$4="星期日"))),AND('設定 Settings'!$A$22="週末",OR(F$4="星期六",F$4="星期日")),'設定 Settings'!$A$22=F$4),Lists!$C$26&gt;='設定 Settings'!$B$22,Lists!$C$26&lt;'設定 Settings'!$C$22),'設定 Settings'!$D$22,0),IF(AND(OR('設定 Settings'!$A$23="全部",AND('設定 Settings'!$A$23="平日",NOT(OR(F$4="星期六",F$4="星期日"))),AND('設定 Settings'!$A$23="週末",OR(F$4="星期六",F$4="星期日")),'設定 Settings'!$A$23=F$4),Lists!$C$26&gt;='設定 Settings'!$B$23,Lists!$C$26&lt;'設定 Settings'!$C$23),'設定 Settings'!$D$23,0),IF(AND(OR('設定 Settings'!$A$24="全部",AND('設定 Settings'!$A$24="平日",NOT(OR(F$4="星期六",F$4="星期日"))),AND('設定 Settings'!$A$24="週末",OR(F$4="星期六",F$4="星期日")),'設定 Settings'!$A$24=F$4),Lists!$C$26&gt;='設定 Settings'!$B$24,Lists!$C$26&lt;'設定 Settings'!$C$24),'設定 Settings'!$D$24,0),IF(AND(OR('設定 Settings'!$A$25="全部",AND('設定 Settings'!$A$25="平日",NOT(OR(F$4="星期六",F$4="星期日"))),AND('設定 Settings'!$A$25="週末",OR(F$4="星期六",F$4="星期日")),'設定 Settings'!$A$25=F$4),Lists!$C$26&gt;='設定 Settings'!$B$25,Lists!$C$26&lt;'設定 Settings'!$C$25),'設定 Settings'!$D$25,0),IF(AND(OR('設定 Settings'!$A$26="全部",AND('設定 Settings'!$A$26="平日",NOT(OR(F$4="星期六",F$4="星期日"))),AND('設定 Settings'!$A$26="週末",OR(F$4="星期六",F$4="星期日")),'設定 Settings'!$A$26=F$4),Lists!$C$26&gt;='設定 Settings'!$B$26,Lists!$C$26&lt;'設定 Settings'!$C$26),'設定 Settings'!$D$26,0))</f>
        <v/>
      </c>
      <c r="AE29">
        <f>MAX('設定 Settings'!$B$17,IF(AND(OR('設定 Settings'!$A$21="全部",AND('設定 Settings'!$A$21="平日",NOT(OR(G$4="星期六",G$4="星期日"))),AND('設定 Settings'!$A$21="週末",OR(G$4="星期六",G$4="星期日")),'設定 Settings'!$A$21=G$4),Lists!$C$26&gt;='設定 Settings'!$B$21,Lists!$C$26&lt;'設定 Settings'!$C$21),'設定 Settings'!$D$21,0),IF(AND(OR('設定 Settings'!$A$22="全部",AND('設定 Settings'!$A$22="平日",NOT(OR(G$4="星期六",G$4="星期日"))),AND('設定 Settings'!$A$22="週末",OR(G$4="星期六",G$4="星期日")),'設定 Settings'!$A$22=G$4),Lists!$C$26&gt;='設定 Settings'!$B$22,Lists!$C$26&lt;'設定 Settings'!$C$22),'設定 Settings'!$D$22,0),IF(AND(OR('設定 Settings'!$A$23="全部",AND('設定 Settings'!$A$23="平日",NOT(OR(G$4="星期六",G$4="星期日"))),AND('設定 Settings'!$A$23="週末",OR(G$4="星期六",G$4="星期日")),'設定 Settings'!$A$23=G$4),Lists!$C$26&gt;='設定 Settings'!$B$23,Lists!$C$26&lt;'設定 Settings'!$C$23),'設定 Settings'!$D$23,0),IF(AND(OR('設定 Settings'!$A$24="全部",AND('設定 Settings'!$A$24="平日",NOT(OR(G$4="星期六",G$4="星期日"))),AND('設定 Settings'!$A$24="週末",OR(G$4="星期六",G$4="星期日")),'設定 Settings'!$A$24=G$4),Lists!$C$26&gt;='設定 Settings'!$B$24,Lists!$C$26&lt;'設定 Settings'!$C$24),'設定 Settings'!$D$24,0),IF(AND(OR('設定 Settings'!$A$25="全部",AND('設定 Settings'!$A$25="平日",NOT(OR(G$4="星期六",G$4="星期日"))),AND('設定 Settings'!$A$25="週末",OR(G$4="星期六",G$4="星期日")),'設定 Settings'!$A$25=G$4),Lists!$C$26&gt;='設定 Settings'!$B$25,Lists!$C$26&lt;'設定 Settings'!$C$25),'設定 Settings'!$D$25,0),IF(AND(OR('設定 Settings'!$A$26="全部",AND('設定 Settings'!$A$26="平日",NOT(OR(G$4="星期六",G$4="星期日"))),AND('設定 Settings'!$A$26="週末",OR(G$4="星期六",G$4="星期日")),'設定 Settings'!$A$26=G$4),Lists!$C$26&gt;='設定 Settings'!$B$26,Lists!$C$26&lt;'設定 Settings'!$C$26),'設定 Settings'!$D$26,0))</f>
        <v/>
      </c>
      <c r="AF29">
        <f>MAX('設定 Settings'!$B$17,IF(AND(OR('設定 Settings'!$A$21="全部",AND('設定 Settings'!$A$21="平日",NOT(OR(H$4="星期六",H$4="星期日"))),AND('設定 Settings'!$A$21="週末",OR(H$4="星期六",H$4="星期日")),'設定 Settings'!$A$21=H$4),Lists!$C$26&gt;='設定 Settings'!$B$21,Lists!$C$26&lt;'設定 Settings'!$C$21),'設定 Settings'!$D$21,0),IF(AND(OR('設定 Settings'!$A$22="全部",AND('設定 Settings'!$A$22="平日",NOT(OR(H$4="星期六",H$4="星期日"))),AND('設定 Settings'!$A$22="週末",OR(H$4="星期六",H$4="星期日")),'設定 Settings'!$A$22=H$4),Lists!$C$26&gt;='設定 Settings'!$B$22,Lists!$C$26&lt;'設定 Settings'!$C$22),'設定 Settings'!$D$22,0),IF(AND(OR('設定 Settings'!$A$23="全部",AND('設定 Settings'!$A$23="平日",NOT(OR(H$4="星期六",H$4="星期日"))),AND('設定 Settings'!$A$23="週末",OR(H$4="星期六",H$4="星期日")),'設定 Settings'!$A$23=H$4),Lists!$C$26&gt;='設定 Settings'!$B$23,Lists!$C$26&lt;'設定 Settings'!$C$23),'設定 Settings'!$D$23,0),IF(AND(OR('設定 Settings'!$A$24="全部",AND('設定 Settings'!$A$24="平日",NOT(OR(H$4="星期六",H$4="星期日"))),AND('設定 Settings'!$A$24="週末",OR(H$4="星期六",H$4="星期日")),'設定 Settings'!$A$24=H$4),Lists!$C$26&gt;='設定 Settings'!$B$24,Lists!$C$26&lt;'設定 Settings'!$C$24),'設定 Settings'!$D$24,0),IF(AND(OR('設定 Settings'!$A$25="全部",AND('設定 Settings'!$A$25="平日",NOT(OR(H$4="星期六",H$4="星期日"))),AND('設定 Settings'!$A$25="週末",OR(H$4="星期六",H$4="星期日")),'設定 Settings'!$A$25=H$4),Lists!$C$26&gt;='設定 Settings'!$B$25,Lists!$C$26&lt;'設定 Settings'!$C$25),'設定 Settings'!$D$25,0),IF(AND(OR('設定 Settings'!$A$26="全部",AND('設定 Settings'!$A$26="平日",NOT(OR(H$4="星期六",H$4="星期日"))),AND('設定 Settings'!$A$26="週末",OR(H$4="星期六",H$4="星期日")),'設定 Settings'!$A$26=H$4),Lists!$C$26&gt;='設定 Settings'!$B$26,Lists!$C$26&lt;'設定 Settings'!$C$26),'設定 Settings'!$D$26,0))</f>
        <v/>
      </c>
    </row>
    <row r="31">
      <c r="A31" s="4" t="inlineStr">
        <is>
          <t>② 當值名單 (每格＝該時段在班員工)</t>
        </is>
      </c>
    </row>
    <row r="32">
      <c r="A32" s="17" t="inlineStr">
        <is>
          <t>時段</t>
        </is>
      </c>
      <c r="B32" s="17" t="inlineStr">
        <is>
          <t>星期一</t>
        </is>
      </c>
      <c r="C32" s="17" t="inlineStr">
        <is>
          <t>星期二</t>
        </is>
      </c>
      <c r="D32" s="17" t="inlineStr">
        <is>
          <t>星期三</t>
        </is>
      </c>
      <c r="E32" s="17" t="inlineStr">
        <is>
          <t>星期四</t>
        </is>
      </c>
      <c r="F32" s="17" t="inlineStr">
        <is>
          <t>星期五</t>
        </is>
      </c>
      <c r="G32" s="21" t="inlineStr">
        <is>
          <t>星期六</t>
        </is>
      </c>
      <c r="H32" s="21" t="inlineStr">
        <is>
          <t>星期日</t>
        </is>
      </c>
    </row>
    <row r="33">
      <c r="A33" s="22" t="inlineStr">
        <is>
          <t>9:45am-10:15am</t>
        </is>
      </c>
      <c r="B33" s="24">
        <f>TEXTJOIN(", ",TRUE,IF(B61="Work",'設定 Settings'!$A$5,""),IF(B89="Work",'設定 Settings'!$A$6,""),IF(B117="Work",'設定 Settings'!$A$7,""),IF(B145="Work",'設定 Settings'!$A$8,""),IF(B173="Work",'設定 Settings'!$A$9,""))</f>
        <v/>
      </c>
      <c r="C33" s="24">
        <f>TEXTJOIN(", ",TRUE,IF(C61="Work",'設定 Settings'!$A$5,""),IF(C89="Work",'設定 Settings'!$A$6,""),IF(C117="Work",'設定 Settings'!$A$7,""),IF(C145="Work",'設定 Settings'!$A$8,""),IF(C173="Work",'設定 Settings'!$A$9,""))</f>
        <v/>
      </c>
      <c r="D33" s="24">
        <f>TEXTJOIN(", ",TRUE,IF(D61="Work",'設定 Settings'!$A$5,""),IF(D89="Work",'設定 Settings'!$A$6,""),IF(D117="Work",'設定 Settings'!$A$7,""),IF(D145="Work",'設定 Settings'!$A$8,""),IF(D173="Work",'設定 Settings'!$A$9,""))</f>
        <v/>
      </c>
      <c r="E33" s="24">
        <f>TEXTJOIN(", ",TRUE,IF(E61="Work",'設定 Settings'!$A$5,""),IF(E89="Work",'設定 Settings'!$A$6,""),IF(E117="Work",'設定 Settings'!$A$7,""),IF(E145="Work",'設定 Settings'!$A$8,""),IF(E173="Work",'設定 Settings'!$A$9,""))</f>
        <v/>
      </c>
      <c r="F33" s="24">
        <f>TEXTJOIN(", ",TRUE,IF(F61="Work",'設定 Settings'!$A$5,""),IF(F89="Work",'設定 Settings'!$A$6,""),IF(F117="Work",'設定 Settings'!$A$7,""),IF(F145="Work",'設定 Settings'!$A$8,""),IF(F173="Work",'設定 Settings'!$A$9,""))</f>
        <v/>
      </c>
      <c r="G33" s="24">
        <f>TEXTJOIN(", ",TRUE,IF(G61="Work",'設定 Settings'!$A$5,""),IF(G89="Work",'設定 Settings'!$A$6,""),IF(G117="Work",'設定 Settings'!$A$7,""),IF(G145="Work",'設定 Settings'!$A$8,""),IF(G173="Work",'設定 Settings'!$A$9,""))</f>
        <v/>
      </c>
      <c r="H33" s="24">
        <f>TEXTJOIN(", ",TRUE,IF(H61="Work",'設定 Settings'!$A$5,""),IF(H89="Work",'設定 Settings'!$A$6,""),IF(H117="Work",'設定 Settings'!$A$7,""),IF(H145="Work",'設定 Settings'!$A$8,""),IF(H173="Work",'設定 Settings'!$A$9,""))</f>
        <v/>
      </c>
    </row>
    <row r="34">
      <c r="A34" s="22" t="inlineStr">
        <is>
          <t>10:15am-10:45am</t>
        </is>
      </c>
      <c r="B34" s="24">
        <f>TEXTJOIN(", ",TRUE,IF(B62="Work",'設定 Settings'!$A$5,""),IF(B90="Work",'設定 Settings'!$A$6,""),IF(B118="Work",'設定 Settings'!$A$7,""),IF(B146="Work",'設定 Settings'!$A$8,""),IF(B174="Work",'設定 Settings'!$A$9,""))</f>
        <v/>
      </c>
      <c r="C34" s="24">
        <f>TEXTJOIN(", ",TRUE,IF(C62="Work",'設定 Settings'!$A$5,""),IF(C90="Work",'設定 Settings'!$A$6,""),IF(C118="Work",'設定 Settings'!$A$7,""),IF(C146="Work",'設定 Settings'!$A$8,""),IF(C174="Work",'設定 Settings'!$A$9,""))</f>
        <v/>
      </c>
      <c r="D34" s="24">
        <f>TEXTJOIN(", ",TRUE,IF(D62="Work",'設定 Settings'!$A$5,""),IF(D90="Work",'設定 Settings'!$A$6,""),IF(D118="Work",'設定 Settings'!$A$7,""),IF(D146="Work",'設定 Settings'!$A$8,""),IF(D174="Work",'設定 Settings'!$A$9,""))</f>
        <v/>
      </c>
      <c r="E34" s="24">
        <f>TEXTJOIN(", ",TRUE,IF(E62="Work",'設定 Settings'!$A$5,""),IF(E90="Work",'設定 Settings'!$A$6,""),IF(E118="Work",'設定 Settings'!$A$7,""),IF(E146="Work",'設定 Settings'!$A$8,""),IF(E174="Work",'設定 Settings'!$A$9,""))</f>
        <v/>
      </c>
      <c r="F34" s="24">
        <f>TEXTJOIN(", ",TRUE,IF(F62="Work",'設定 Settings'!$A$5,""),IF(F90="Work",'設定 Settings'!$A$6,""),IF(F118="Work",'設定 Settings'!$A$7,""),IF(F146="Work",'設定 Settings'!$A$8,""),IF(F174="Work",'設定 Settings'!$A$9,""))</f>
        <v/>
      </c>
      <c r="G34" s="24">
        <f>TEXTJOIN(", ",TRUE,IF(G62="Work",'設定 Settings'!$A$5,""),IF(G90="Work",'設定 Settings'!$A$6,""),IF(G118="Work",'設定 Settings'!$A$7,""),IF(G146="Work",'設定 Settings'!$A$8,""),IF(G174="Work",'設定 Settings'!$A$9,""))</f>
        <v/>
      </c>
      <c r="H34" s="24">
        <f>TEXTJOIN(", ",TRUE,IF(H62="Work",'設定 Settings'!$A$5,""),IF(H90="Work",'設定 Settings'!$A$6,""),IF(H118="Work",'設定 Settings'!$A$7,""),IF(H146="Work",'設定 Settings'!$A$8,""),IF(H174="Work",'設定 Settings'!$A$9,""))</f>
        <v/>
      </c>
    </row>
    <row r="35">
      <c r="A35" s="22" t="inlineStr">
        <is>
          <t>10:45am-11:15am</t>
        </is>
      </c>
      <c r="B35" s="24">
        <f>TEXTJOIN(", ",TRUE,IF(B63="Work",'設定 Settings'!$A$5,""),IF(B91="Work",'設定 Settings'!$A$6,""),IF(B119="Work",'設定 Settings'!$A$7,""),IF(B147="Work",'設定 Settings'!$A$8,""),IF(B175="Work",'設定 Settings'!$A$9,""))</f>
        <v/>
      </c>
      <c r="C35" s="24">
        <f>TEXTJOIN(", ",TRUE,IF(C63="Work",'設定 Settings'!$A$5,""),IF(C91="Work",'設定 Settings'!$A$6,""),IF(C119="Work",'設定 Settings'!$A$7,""),IF(C147="Work",'設定 Settings'!$A$8,""),IF(C175="Work",'設定 Settings'!$A$9,""))</f>
        <v/>
      </c>
      <c r="D35" s="24">
        <f>TEXTJOIN(", ",TRUE,IF(D63="Work",'設定 Settings'!$A$5,""),IF(D91="Work",'設定 Settings'!$A$6,""),IF(D119="Work",'設定 Settings'!$A$7,""),IF(D147="Work",'設定 Settings'!$A$8,""),IF(D175="Work",'設定 Settings'!$A$9,""))</f>
        <v/>
      </c>
      <c r="E35" s="24">
        <f>TEXTJOIN(", ",TRUE,IF(E63="Work",'設定 Settings'!$A$5,""),IF(E91="Work",'設定 Settings'!$A$6,""),IF(E119="Work",'設定 Settings'!$A$7,""),IF(E147="Work",'設定 Settings'!$A$8,""),IF(E175="Work",'設定 Settings'!$A$9,""))</f>
        <v/>
      </c>
      <c r="F35" s="24">
        <f>TEXTJOIN(", ",TRUE,IF(F63="Work",'設定 Settings'!$A$5,""),IF(F91="Work",'設定 Settings'!$A$6,""),IF(F119="Work",'設定 Settings'!$A$7,""),IF(F147="Work",'設定 Settings'!$A$8,""),IF(F175="Work",'設定 Settings'!$A$9,""))</f>
        <v/>
      </c>
      <c r="G35" s="24">
        <f>TEXTJOIN(", ",TRUE,IF(G63="Work",'設定 Settings'!$A$5,""),IF(G91="Work",'設定 Settings'!$A$6,""),IF(G119="Work",'設定 Settings'!$A$7,""),IF(G147="Work",'設定 Settings'!$A$8,""),IF(G175="Work",'設定 Settings'!$A$9,""))</f>
        <v/>
      </c>
      <c r="H35" s="24">
        <f>TEXTJOIN(", ",TRUE,IF(H63="Work",'設定 Settings'!$A$5,""),IF(H91="Work",'設定 Settings'!$A$6,""),IF(H119="Work",'設定 Settings'!$A$7,""),IF(H147="Work",'設定 Settings'!$A$8,""),IF(H175="Work",'設定 Settings'!$A$9,""))</f>
        <v/>
      </c>
    </row>
    <row r="36">
      <c r="A36" s="22" t="inlineStr">
        <is>
          <t>11:15am-11:45am</t>
        </is>
      </c>
      <c r="B36" s="24">
        <f>TEXTJOIN(", ",TRUE,IF(B64="Work",'設定 Settings'!$A$5,""),IF(B92="Work",'設定 Settings'!$A$6,""),IF(B120="Work",'設定 Settings'!$A$7,""),IF(B148="Work",'設定 Settings'!$A$8,""),IF(B176="Work",'設定 Settings'!$A$9,""))</f>
        <v/>
      </c>
      <c r="C36" s="24">
        <f>TEXTJOIN(", ",TRUE,IF(C64="Work",'設定 Settings'!$A$5,""),IF(C92="Work",'設定 Settings'!$A$6,""),IF(C120="Work",'設定 Settings'!$A$7,""),IF(C148="Work",'設定 Settings'!$A$8,""),IF(C176="Work",'設定 Settings'!$A$9,""))</f>
        <v/>
      </c>
      <c r="D36" s="24">
        <f>TEXTJOIN(", ",TRUE,IF(D64="Work",'設定 Settings'!$A$5,""),IF(D92="Work",'設定 Settings'!$A$6,""),IF(D120="Work",'設定 Settings'!$A$7,""),IF(D148="Work",'設定 Settings'!$A$8,""),IF(D176="Work",'設定 Settings'!$A$9,""))</f>
        <v/>
      </c>
      <c r="E36" s="24">
        <f>TEXTJOIN(", ",TRUE,IF(E64="Work",'設定 Settings'!$A$5,""),IF(E92="Work",'設定 Settings'!$A$6,""),IF(E120="Work",'設定 Settings'!$A$7,""),IF(E148="Work",'設定 Settings'!$A$8,""),IF(E176="Work",'設定 Settings'!$A$9,""))</f>
        <v/>
      </c>
      <c r="F36" s="24">
        <f>TEXTJOIN(", ",TRUE,IF(F64="Work",'設定 Settings'!$A$5,""),IF(F92="Work",'設定 Settings'!$A$6,""),IF(F120="Work",'設定 Settings'!$A$7,""),IF(F148="Work",'設定 Settings'!$A$8,""),IF(F176="Work",'設定 Settings'!$A$9,""))</f>
        <v/>
      </c>
      <c r="G36" s="24">
        <f>TEXTJOIN(", ",TRUE,IF(G64="Work",'設定 Settings'!$A$5,""),IF(G92="Work",'設定 Settings'!$A$6,""),IF(G120="Work",'設定 Settings'!$A$7,""),IF(G148="Work",'設定 Settings'!$A$8,""),IF(G176="Work",'設定 Settings'!$A$9,""))</f>
        <v/>
      </c>
      <c r="H36" s="24">
        <f>TEXTJOIN(", ",TRUE,IF(H64="Work",'設定 Settings'!$A$5,""),IF(H92="Work",'設定 Settings'!$A$6,""),IF(H120="Work",'設定 Settings'!$A$7,""),IF(H148="Work",'設定 Settings'!$A$8,""),IF(H176="Work",'設定 Settings'!$A$9,""))</f>
        <v/>
      </c>
    </row>
    <row r="37">
      <c r="A37" s="22" t="inlineStr">
        <is>
          <t>11:45am-12:15pm</t>
        </is>
      </c>
      <c r="B37" s="24">
        <f>TEXTJOIN(", ",TRUE,IF(B65="Work",'設定 Settings'!$A$5,""),IF(B93="Work",'設定 Settings'!$A$6,""),IF(B121="Work",'設定 Settings'!$A$7,""),IF(B149="Work",'設定 Settings'!$A$8,""),IF(B177="Work",'設定 Settings'!$A$9,""))</f>
        <v/>
      </c>
      <c r="C37" s="24">
        <f>TEXTJOIN(", ",TRUE,IF(C65="Work",'設定 Settings'!$A$5,""),IF(C93="Work",'設定 Settings'!$A$6,""),IF(C121="Work",'設定 Settings'!$A$7,""),IF(C149="Work",'設定 Settings'!$A$8,""),IF(C177="Work",'設定 Settings'!$A$9,""))</f>
        <v/>
      </c>
      <c r="D37" s="24">
        <f>TEXTJOIN(", ",TRUE,IF(D65="Work",'設定 Settings'!$A$5,""),IF(D93="Work",'設定 Settings'!$A$6,""),IF(D121="Work",'設定 Settings'!$A$7,""),IF(D149="Work",'設定 Settings'!$A$8,""),IF(D177="Work",'設定 Settings'!$A$9,""))</f>
        <v/>
      </c>
      <c r="E37" s="24">
        <f>TEXTJOIN(", ",TRUE,IF(E65="Work",'設定 Settings'!$A$5,""),IF(E93="Work",'設定 Settings'!$A$6,""),IF(E121="Work",'設定 Settings'!$A$7,""),IF(E149="Work",'設定 Settings'!$A$8,""),IF(E177="Work",'設定 Settings'!$A$9,""))</f>
        <v/>
      </c>
      <c r="F37" s="24">
        <f>TEXTJOIN(", ",TRUE,IF(F65="Work",'設定 Settings'!$A$5,""),IF(F93="Work",'設定 Settings'!$A$6,""),IF(F121="Work",'設定 Settings'!$A$7,""),IF(F149="Work",'設定 Settings'!$A$8,""),IF(F177="Work",'設定 Settings'!$A$9,""))</f>
        <v/>
      </c>
      <c r="G37" s="24">
        <f>TEXTJOIN(", ",TRUE,IF(G65="Work",'設定 Settings'!$A$5,""),IF(G93="Work",'設定 Settings'!$A$6,""),IF(G121="Work",'設定 Settings'!$A$7,""),IF(G149="Work",'設定 Settings'!$A$8,""),IF(G177="Work",'設定 Settings'!$A$9,""))</f>
        <v/>
      </c>
      <c r="H37" s="24">
        <f>TEXTJOIN(", ",TRUE,IF(H65="Work",'設定 Settings'!$A$5,""),IF(H93="Work",'設定 Settings'!$A$6,""),IF(H121="Work",'設定 Settings'!$A$7,""),IF(H149="Work",'設定 Settings'!$A$8,""),IF(H177="Work",'設定 Settings'!$A$9,""))</f>
        <v/>
      </c>
    </row>
    <row r="38">
      <c r="A38" s="22" t="inlineStr">
        <is>
          <t>12:15pm-12:45pm</t>
        </is>
      </c>
      <c r="B38" s="24">
        <f>TEXTJOIN(", ",TRUE,IF(B66="Work",'設定 Settings'!$A$5,""),IF(B94="Work",'設定 Settings'!$A$6,""),IF(B122="Work",'設定 Settings'!$A$7,""),IF(B150="Work",'設定 Settings'!$A$8,""),IF(B178="Work",'設定 Settings'!$A$9,""))</f>
        <v/>
      </c>
      <c r="C38" s="24">
        <f>TEXTJOIN(", ",TRUE,IF(C66="Work",'設定 Settings'!$A$5,""),IF(C94="Work",'設定 Settings'!$A$6,""),IF(C122="Work",'設定 Settings'!$A$7,""),IF(C150="Work",'設定 Settings'!$A$8,""),IF(C178="Work",'設定 Settings'!$A$9,""))</f>
        <v/>
      </c>
      <c r="D38" s="24">
        <f>TEXTJOIN(", ",TRUE,IF(D66="Work",'設定 Settings'!$A$5,""),IF(D94="Work",'設定 Settings'!$A$6,""),IF(D122="Work",'設定 Settings'!$A$7,""),IF(D150="Work",'設定 Settings'!$A$8,""),IF(D178="Work",'設定 Settings'!$A$9,""))</f>
        <v/>
      </c>
      <c r="E38" s="24">
        <f>TEXTJOIN(", ",TRUE,IF(E66="Work",'設定 Settings'!$A$5,""),IF(E94="Work",'設定 Settings'!$A$6,""),IF(E122="Work",'設定 Settings'!$A$7,""),IF(E150="Work",'設定 Settings'!$A$8,""),IF(E178="Work",'設定 Settings'!$A$9,""))</f>
        <v/>
      </c>
      <c r="F38" s="24">
        <f>TEXTJOIN(", ",TRUE,IF(F66="Work",'設定 Settings'!$A$5,""),IF(F94="Work",'設定 Settings'!$A$6,""),IF(F122="Work",'設定 Settings'!$A$7,""),IF(F150="Work",'設定 Settings'!$A$8,""),IF(F178="Work",'設定 Settings'!$A$9,""))</f>
        <v/>
      </c>
      <c r="G38" s="24">
        <f>TEXTJOIN(", ",TRUE,IF(G66="Work",'設定 Settings'!$A$5,""),IF(G94="Work",'設定 Settings'!$A$6,""),IF(G122="Work",'設定 Settings'!$A$7,""),IF(G150="Work",'設定 Settings'!$A$8,""),IF(G178="Work",'設定 Settings'!$A$9,""))</f>
        <v/>
      </c>
      <c r="H38" s="24">
        <f>TEXTJOIN(", ",TRUE,IF(H66="Work",'設定 Settings'!$A$5,""),IF(H94="Work",'設定 Settings'!$A$6,""),IF(H122="Work",'設定 Settings'!$A$7,""),IF(H150="Work",'設定 Settings'!$A$8,""),IF(H178="Work",'設定 Settings'!$A$9,""))</f>
        <v/>
      </c>
    </row>
    <row r="39">
      <c r="A39" s="22" t="inlineStr">
        <is>
          <t>12:45pm-1:15pm</t>
        </is>
      </c>
      <c r="B39" s="24">
        <f>TEXTJOIN(", ",TRUE,IF(B67="Work",'設定 Settings'!$A$5,""),IF(B95="Work",'設定 Settings'!$A$6,""),IF(B123="Work",'設定 Settings'!$A$7,""),IF(B151="Work",'設定 Settings'!$A$8,""),IF(B179="Work",'設定 Settings'!$A$9,""))</f>
        <v/>
      </c>
      <c r="C39" s="24">
        <f>TEXTJOIN(", ",TRUE,IF(C67="Work",'設定 Settings'!$A$5,""),IF(C95="Work",'設定 Settings'!$A$6,""),IF(C123="Work",'設定 Settings'!$A$7,""),IF(C151="Work",'設定 Settings'!$A$8,""),IF(C179="Work",'設定 Settings'!$A$9,""))</f>
        <v/>
      </c>
      <c r="D39" s="24">
        <f>TEXTJOIN(", ",TRUE,IF(D67="Work",'設定 Settings'!$A$5,""),IF(D95="Work",'設定 Settings'!$A$6,""),IF(D123="Work",'設定 Settings'!$A$7,""),IF(D151="Work",'設定 Settings'!$A$8,""),IF(D179="Work",'設定 Settings'!$A$9,""))</f>
        <v/>
      </c>
      <c r="E39" s="24">
        <f>TEXTJOIN(", ",TRUE,IF(E67="Work",'設定 Settings'!$A$5,""),IF(E95="Work",'設定 Settings'!$A$6,""),IF(E123="Work",'設定 Settings'!$A$7,""),IF(E151="Work",'設定 Settings'!$A$8,""),IF(E179="Work",'設定 Settings'!$A$9,""))</f>
        <v/>
      </c>
      <c r="F39" s="24">
        <f>TEXTJOIN(", ",TRUE,IF(F67="Work",'設定 Settings'!$A$5,""),IF(F95="Work",'設定 Settings'!$A$6,""),IF(F123="Work",'設定 Settings'!$A$7,""),IF(F151="Work",'設定 Settings'!$A$8,""),IF(F179="Work",'設定 Settings'!$A$9,""))</f>
        <v/>
      </c>
      <c r="G39" s="24">
        <f>TEXTJOIN(", ",TRUE,IF(G67="Work",'設定 Settings'!$A$5,""),IF(G95="Work",'設定 Settings'!$A$6,""),IF(G123="Work",'設定 Settings'!$A$7,""),IF(G151="Work",'設定 Settings'!$A$8,""),IF(G179="Work",'設定 Settings'!$A$9,""))</f>
        <v/>
      </c>
      <c r="H39" s="24">
        <f>TEXTJOIN(", ",TRUE,IF(H67="Work",'設定 Settings'!$A$5,""),IF(H95="Work",'設定 Settings'!$A$6,""),IF(H123="Work",'設定 Settings'!$A$7,""),IF(H151="Work",'設定 Settings'!$A$8,""),IF(H179="Work",'設定 Settings'!$A$9,""))</f>
        <v/>
      </c>
    </row>
    <row r="40">
      <c r="A40" s="22" t="inlineStr">
        <is>
          <t>1:15pm-1:45pm</t>
        </is>
      </c>
      <c r="B40" s="24">
        <f>TEXTJOIN(", ",TRUE,IF(B68="Work",'設定 Settings'!$A$5,""),IF(B96="Work",'設定 Settings'!$A$6,""),IF(B124="Work",'設定 Settings'!$A$7,""),IF(B152="Work",'設定 Settings'!$A$8,""),IF(B180="Work",'設定 Settings'!$A$9,""))</f>
        <v/>
      </c>
      <c r="C40" s="24">
        <f>TEXTJOIN(", ",TRUE,IF(C68="Work",'設定 Settings'!$A$5,""),IF(C96="Work",'設定 Settings'!$A$6,""),IF(C124="Work",'設定 Settings'!$A$7,""),IF(C152="Work",'設定 Settings'!$A$8,""),IF(C180="Work",'設定 Settings'!$A$9,""))</f>
        <v/>
      </c>
      <c r="D40" s="24">
        <f>TEXTJOIN(", ",TRUE,IF(D68="Work",'設定 Settings'!$A$5,""),IF(D96="Work",'設定 Settings'!$A$6,""),IF(D124="Work",'設定 Settings'!$A$7,""),IF(D152="Work",'設定 Settings'!$A$8,""),IF(D180="Work",'設定 Settings'!$A$9,""))</f>
        <v/>
      </c>
      <c r="E40" s="24">
        <f>TEXTJOIN(", ",TRUE,IF(E68="Work",'設定 Settings'!$A$5,""),IF(E96="Work",'設定 Settings'!$A$6,""),IF(E124="Work",'設定 Settings'!$A$7,""),IF(E152="Work",'設定 Settings'!$A$8,""),IF(E180="Work",'設定 Settings'!$A$9,""))</f>
        <v/>
      </c>
      <c r="F40" s="24">
        <f>TEXTJOIN(", ",TRUE,IF(F68="Work",'設定 Settings'!$A$5,""),IF(F96="Work",'設定 Settings'!$A$6,""),IF(F124="Work",'設定 Settings'!$A$7,""),IF(F152="Work",'設定 Settings'!$A$8,""),IF(F180="Work",'設定 Settings'!$A$9,""))</f>
        <v/>
      </c>
      <c r="G40" s="24">
        <f>TEXTJOIN(", ",TRUE,IF(G68="Work",'設定 Settings'!$A$5,""),IF(G96="Work",'設定 Settings'!$A$6,""),IF(G124="Work",'設定 Settings'!$A$7,""),IF(G152="Work",'設定 Settings'!$A$8,""),IF(G180="Work",'設定 Settings'!$A$9,""))</f>
        <v/>
      </c>
      <c r="H40" s="24">
        <f>TEXTJOIN(", ",TRUE,IF(H68="Work",'設定 Settings'!$A$5,""),IF(H96="Work",'設定 Settings'!$A$6,""),IF(H124="Work",'設定 Settings'!$A$7,""),IF(H152="Work",'設定 Settings'!$A$8,""),IF(H180="Work",'設定 Settings'!$A$9,""))</f>
        <v/>
      </c>
    </row>
    <row r="41">
      <c r="A41" s="22" t="inlineStr">
        <is>
          <t>1:45pm-2:15pm</t>
        </is>
      </c>
      <c r="B41" s="24">
        <f>TEXTJOIN(", ",TRUE,IF(B69="Work",'設定 Settings'!$A$5,""),IF(B97="Work",'設定 Settings'!$A$6,""),IF(B125="Work",'設定 Settings'!$A$7,""),IF(B153="Work",'設定 Settings'!$A$8,""),IF(B181="Work",'設定 Settings'!$A$9,""))</f>
        <v/>
      </c>
      <c r="C41" s="24">
        <f>TEXTJOIN(", ",TRUE,IF(C69="Work",'設定 Settings'!$A$5,""),IF(C97="Work",'設定 Settings'!$A$6,""),IF(C125="Work",'設定 Settings'!$A$7,""),IF(C153="Work",'設定 Settings'!$A$8,""),IF(C181="Work",'設定 Settings'!$A$9,""))</f>
        <v/>
      </c>
      <c r="D41" s="24">
        <f>TEXTJOIN(", ",TRUE,IF(D69="Work",'設定 Settings'!$A$5,""),IF(D97="Work",'設定 Settings'!$A$6,""),IF(D125="Work",'設定 Settings'!$A$7,""),IF(D153="Work",'設定 Settings'!$A$8,""),IF(D181="Work",'設定 Settings'!$A$9,""))</f>
        <v/>
      </c>
      <c r="E41" s="24">
        <f>TEXTJOIN(", ",TRUE,IF(E69="Work",'設定 Settings'!$A$5,""),IF(E97="Work",'設定 Settings'!$A$6,""),IF(E125="Work",'設定 Settings'!$A$7,""),IF(E153="Work",'設定 Settings'!$A$8,""),IF(E181="Work",'設定 Settings'!$A$9,""))</f>
        <v/>
      </c>
      <c r="F41" s="24">
        <f>TEXTJOIN(", ",TRUE,IF(F69="Work",'設定 Settings'!$A$5,""),IF(F97="Work",'設定 Settings'!$A$6,""),IF(F125="Work",'設定 Settings'!$A$7,""),IF(F153="Work",'設定 Settings'!$A$8,""),IF(F181="Work",'設定 Settings'!$A$9,""))</f>
        <v/>
      </c>
      <c r="G41" s="24">
        <f>TEXTJOIN(", ",TRUE,IF(G69="Work",'設定 Settings'!$A$5,""),IF(G97="Work",'設定 Settings'!$A$6,""),IF(G125="Work",'設定 Settings'!$A$7,""),IF(G153="Work",'設定 Settings'!$A$8,""),IF(G181="Work",'設定 Settings'!$A$9,""))</f>
        <v/>
      </c>
      <c r="H41" s="24">
        <f>TEXTJOIN(", ",TRUE,IF(H69="Work",'設定 Settings'!$A$5,""),IF(H97="Work",'設定 Settings'!$A$6,""),IF(H125="Work",'設定 Settings'!$A$7,""),IF(H153="Work",'設定 Settings'!$A$8,""),IF(H181="Work",'設定 Settings'!$A$9,""))</f>
        <v/>
      </c>
    </row>
    <row r="42">
      <c r="A42" s="22" t="inlineStr">
        <is>
          <t>2:15pm-2:45pm</t>
        </is>
      </c>
      <c r="B42" s="24">
        <f>TEXTJOIN(", ",TRUE,IF(B70="Work",'設定 Settings'!$A$5,""),IF(B98="Work",'設定 Settings'!$A$6,""),IF(B126="Work",'設定 Settings'!$A$7,""),IF(B154="Work",'設定 Settings'!$A$8,""),IF(B182="Work",'設定 Settings'!$A$9,""))</f>
        <v/>
      </c>
      <c r="C42" s="24">
        <f>TEXTJOIN(", ",TRUE,IF(C70="Work",'設定 Settings'!$A$5,""),IF(C98="Work",'設定 Settings'!$A$6,""),IF(C126="Work",'設定 Settings'!$A$7,""),IF(C154="Work",'設定 Settings'!$A$8,""),IF(C182="Work",'設定 Settings'!$A$9,""))</f>
        <v/>
      </c>
      <c r="D42" s="24">
        <f>TEXTJOIN(", ",TRUE,IF(D70="Work",'設定 Settings'!$A$5,""),IF(D98="Work",'設定 Settings'!$A$6,""),IF(D126="Work",'設定 Settings'!$A$7,""),IF(D154="Work",'設定 Settings'!$A$8,""),IF(D182="Work",'設定 Settings'!$A$9,""))</f>
        <v/>
      </c>
      <c r="E42" s="24">
        <f>TEXTJOIN(", ",TRUE,IF(E70="Work",'設定 Settings'!$A$5,""),IF(E98="Work",'設定 Settings'!$A$6,""),IF(E126="Work",'設定 Settings'!$A$7,""),IF(E154="Work",'設定 Settings'!$A$8,""),IF(E182="Work",'設定 Settings'!$A$9,""))</f>
        <v/>
      </c>
      <c r="F42" s="24">
        <f>TEXTJOIN(", ",TRUE,IF(F70="Work",'設定 Settings'!$A$5,""),IF(F98="Work",'設定 Settings'!$A$6,""),IF(F126="Work",'設定 Settings'!$A$7,""),IF(F154="Work",'設定 Settings'!$A$8,""),IF(F182="Work",'設定 Settings'!$A$9,""))</f>
        <v/>
      </c>
      <c r="G42" s="24">
        <f>TEXTJOIN(", ",TRUE,IF(G70="Work",'設定 Settings'!$A$5,""),IF(G98="Work",'設定 Settings'!$A$6,""),IF(G126="Work",'設定 Settings'!$A$7,""),IF(G154="Work",'設定 Settings'!$A$8,""),IF(G182="Work",'設定 Settings'!$A$9,""))</f>
        <v/>
      </c>
      <c r="H42" s="24">
        <f>TEXTJOIN(", ",TRUE,IF(H70="Work",'設定 Settings'!$A$5,""),IF(H98="Work",'設定 Settings'!$A$6,""),IF(H126="Work",'設定 Settings'!$A$7,""),IF(H154="Work",'設定 Settings'!$A$8,""),IF(H182="Work",'設定 Settings'!$A$9,""))</f>
        <v/>
      </c>
    </row>
    <row r="43">
      <c r="A43" s="22" t="inlineStr">
        <is>
          <t>2:45pm-3:15pm</t>
        </is>
      </c>
      <c r="B43" s="24">
        <f>TEXTJOIN(", ",TRUE,IF(B71="Work",'設定 Settings'!$A$5,""),IF(B99="Work",'設定 Settings'!$A$6,""),IF(B127="Work",'設定 Settings'!$A$7,""),IF(B155="Work",'設定 Settings'!$A$8,""),IF(B183="Work",'設定 Settings'!$A$9,""))</f>
        <v/>
      </c>
      <c r="C43" s="24">
        <f>TEXTJOIN(", ",TRUE,IF(C71="Work",'設定 Settings'!$A$5,""),IF(C99="Work",'設定 Settings'!$A$6,""),IF(C127="Work",'設定 Settings'!$A$7,""),IF(C155="Work",'設定 Settings'!$A$8,""),IF(C183="Work",'設定 Settings'!$A$9,""))</f>
        <v/>
      </c>
      <c r="D43" s="24">
        <f>TEXTJOIN(", ",TRUE,IF(D71="Work",'設定 Settings'!$A$5,""),IF(D99="Work",'設定 Settings'!$A$6,""),IF(D127="Work",'設定 Settings'!$A$7,""),IF(D155="Work",'設定 Settings'!$A$8,""),IF(D183="Work",'設定 Settings'!$A$9,""))</f>
        <v/>
      </c>
      <c r="E43" s="24">
        <f>TEXTJOIN(", ",TRUE,IF(E71="Work",'設定 Settings'!$A$5,""),IF(E99="Work",'設定 Settings'!$A$6,""),IF(E127="Work",'設定 Settings'!$A$7,""),IF(E155="Work",'設定 Settings'!$A$8,""),IF(E183="Work",'設定 Settings'!$A$9,""))</f>
        <v/>
      </c>
      <c r="F43" s="24">
        <f>TEXTJOIN(", ",TRUE,IF(F71="Work",'設定 Settings'!$A$5,""),IF(F99="Work",'設定 Settings'!$A$6,""),IF(F127="Work",'設定 Settings'!$A$7,""),IF(F155="Work",'設定 Settings'!$A$8,""),IF(F183="Work",'設定 Settings'!$A$9,""))</f>
        <v/>
      </c>
      <c r="G43" s="24">
        <f>TEXTJOIN(", ",TRUE,IF(G71="Work",'設定 Settings'!$A$5,""),IF(G99="Work",'設定 Settings'!$A$6,""),IF(G127="Work",'設定 Settings'!$A$7,""),IF(G155="Work",'設定 Settings'!$A$8,""),IF(G183="Work",'設定 Settings'!$A$9,""))</f>
        <v/>
      </c>
      <c r="H43" s="24">
        <f>TEXTJOIN(", ",TRUE,IF(H71="Work",'設定 Settings'!$A$5,""),IF(H99="Work",'設定 Settings'!$A$6,""),IF(H127="Work",'設定 Settings'!$A$7,""),IF(H155="Work",'設定 Settings'!$A$8,""),IF(H183="Work",'設定 Settings'!$A$9,""))</f>
        <v/>
      </c>
    </row>
    <row r="44">
      <c r="A44" s="22" t="inlineStr">
        <is>
          <t>3:15pm-3:45pm</t>
        </is>
      </c>
      <c r="B44" s="24">
        <f>TEXTJOIN(", ",TRUE,IF(B72="Work",'設定 Settings'!$A$5,""),IF(B100="Work",'設定 Settings'!$A$6,""),IF(B128="Work",'設定 Settings'!$A$7,""),IF(B156="Work",'設定 Settings'!$A$8,""),IF(B184="Work",'設定 Settings'!$A$9,""))</f>
        <v/>
      </c>
      <c r="C44" s="24">
        <f>TEXTJOIN(", ",TRUE,IF(C72="Work",'設定 Settings'!$A$5,""),IF(C100="Work",'設定 Settings'!$A$6,""),IF(C128="Work",'設定 Settings'!$A$7,""),IF(C156="Work",'設定 Settings'!$A$8,""),IF(C184="Work",'設定 Settings'!$A$9,""))</f>
        <v/>
      </c>
      <c r="D44" s="24">
        <f>TEXTJOIN(", ",TRUE,IF(D72="Work",'設定 Settings'!$A$5,""),IF(D100="Work",'設定 Settings'!$A$6,""),IF(D128="Work",'設定 Settings'!$A$7,""),IF(D156="Work",'設定 Settings'!$A$8,""),IF(D184="Work",'設定 Settings'!$A$9,""))</f>
        <v/>
      </c>
      <c r="E44" s="24">
        <f>TEXTJOIN(", ",TRUE,IF(E72="Work",'設定 Settings'!$A$5,""),IF(E100="Work",'設定 Settings'!$A$6,""),IF(E128="Work",'設定 Settings'!$A$7,""),IF(E156="Work",'設定 Settings'!$A$8,""),IF(E184="Work",'設定 Settings'!$A$9,""))</f>
        <v/>
      </c>
      <c r="F44" s="24">
        <f>TEXTJOIN(", ",TRUE,IF(F72="Work",'設定 Settings'!$A$5,""),IF(F100="Work",'設定 Settings'!$A$6,""),IF(F128="Work",'設定 Settings'!$A$7,""),IF(F156="Work",'設定 Settings'!$A$8,""),IF(F184="Work",'設定 Settings'!$A$9,""))</f>
        <v/>
      </c>
      <c r="G44" s="24">
        <f>TEXTJOIN(", ",TRUE,IF(G72="Work",'設定 Settings'!$A$5,""),IF(G100="Work",'設定 Settings'!$A$6,""),IF(G128="Work",'設定 Settings'!$A$7,""),IF(G156="Work",'設定 Settings'!$A$8,""),IF(G184="Work",'設定 Settings'!$A$9,""))</f>
        <v/>
      </c>
      <c r="H44" s="24">
        <f>TEXTJOIN(", ",TRUE,IF(H72="Work",'設定 Settings'!$A$5,""),IF(H100="Work",'設定 Settings'!$A$6,""),IF(H128="Work",'設定 Settings'!$A$7,""),IF(H156="Work",'設定 Settings'!$A$8,""),IF(H184="Work",'設定 Settings'!$A$9,""))</f>
        <v/>
      </c>
    </row>
    <row r="45">
      <c r="A45" s="22" t="inlineStr">
        <is>
          <t>3:45pm-4:15pm</t>
        </is>
      </c>
      <c r="B45" s="24">
        <f>TEXTJOIN(", ",TRUE,IF(B73="Work",'設定 Settings'!$A$5,""),IF(B101="Work",'設定 Settings'!$A$6,""),IF(B129="Work",'設定 Settings'!$A$7,""),IF(B157="Work",'設定 Settings'!$A$8,""),IF(B185="Work",'設定 Settings'!$A$9,""))</f>
        <v/>
      </c>
      <c r="C45" s="24">
        <f>TEXTJOIN(", ",TRUE,IF(C73="Work",'設定 Settings'!$A$5,""),IF(C101="Work",'設定 Settings'!$A$6,""),IF(C129="Work",'設定 Settings'!$A$7,""),IF(C157="Work",'設定 Settings'!$A$8,""),IF(C185="Work",'設定 Settings'!$A$9,""))</f>
        <v/>
      </c>
      <c r="D45" s="24">
        <f>TEXTJOIN(", ",TRUE,IF(D73="Work",'設定 Settings'!$A$5,""),IF(D101="Work",'設定 Settings'!$A$6,""),IF(D129="Work",'設定 Settings'!$A$7,""),IF(D157="Work",'設定 Settings'!$A$8,""),IF(D185="Work",'設定 Settings'!$A$9,""))</f>
        <v/>
      </c>
      <c r="E45" s="24">
        <f>TEXTJOIN(", ",TRUE,IF(E73="Work",'設定 Settings'!$A$5,""),IF(E101="Work",'設定 Settings'!$A$6,""),IF(E129="Work",'設定 Settings'!$A$7,""),IF(E157="Work",'設定 Settings'!$A$8,""),IF(E185="Work",'設定 Settings'!$A$9,""))</f>
        <v/>
      </c>
      <c r="F45" s="24">
        <f>TEXTJOIN(", ",TRUE,IF(F73="Work",'設定 Settings'!$A$5,""),IF(F101="Work",'設定 Settings'!$A$6,""),IF(F129="Work",'設定 Settings'!$A$7,""),IF(F157="Work",'設定 Settings'!$A$8,""),IF(F185="Work",'設定 Settings'!$A$9,""))</f>
        <v/>
      </c>
      <c r="G45" s="24">
        <f>TEXTJOIN(", ",TRUE,IF(G73="Work",'設定 Settings'!$A$5,""),IF(G101="Work",'設定 Settings'!$A$6,""),IF(G129="Work",'設定 Settings'!$A$7,""),IF(G157="Work",'設定 Settings'!$A$8,""),IF(G185="Work",'設定 Settings'!$A$9,""))</f>
        <v/>
      </c>
      <c r="H45" s="24">
        <f>TEXTJOIN(", ",TRUE,IF(H73="Work",'設定 Settings'!$A$5,""),IF(H101="Work",'設定 Settings'!$A$6,""),IF(H129="Work",'設定 Settings'!$A$7,""),IF(H157="Work",'設定 Settings'!$A$8,""),IF(H185="Work",'設定 Settings'!$A$9,""))</f>
        <v/>
      </c>
    </row>
    <row r="46">
      <c r="A46" s="22" t="inlineStr">
        <is>
          <t>4:15pm-4:45pm</t>
        </is>
      </c>
      <c r="B46" s="24">
        <f>TEXTJOIN(", ",TRUE,IF(B74="Work",'設定 Settings'!$A$5,""),IF(B102="Work",'設定 Settings'!$A$6,""),IF(B130="Work",'設定 Settings'!$A$7,""),IF(B158="Work",'設定 Settings'!$A$8,""),IF(B186="Work",'設定 Settings'!$A$9,""))</f>
        <v/>
      </c>
      <c r="C46" s="24">
        <f>TEXTJOIN(", ",TRUE,IF(C74="Work",'設定 Settings'!$A$5,""),IF(C102="Work",'設定 Settings'!$A$6,""),IF(C130="Work",'設定 Settings'!$A$7,""),IF(C158="Work",'設定 Settings'!$A$8,""),IF(C186="Work",'設定 Settings'!$A$9,""))</f>
        <v/>
      </c>
      <c r="D46" s="24">
        <f>TEXTJOIN(", ",TRUE,IF(D74="Work",'設定 Settings'!$A$5,""),IF(D102="Work",'設定 Settings'!$A$6,""),IF(D130="Work",'設定 Settings'!$A$7,""),IF(D158="Work",'設定 Settings'!$A$8,""),IF(D186="Work",'設定 Settings'!$A$9,""))</f>
        <v/>
      </c>
      <c r="E46" s="24">
        <f>TEXTJOIN(", ",TRUE,IF(E74="Work",'設定 Settings'!$A$5,""),IF(E102="Work",'設定 Settings'!$A$6,""),IF(E130="Work",'設定 Settings'!$A$7,""),IF(E158="Work",'設定 Settings'!$A$8,""),IF(E186="Work",'設定 Settings'!$A$9,""))</f>
        <v/>
      </c>
      <c r="F46" s="24">
        <f>TEXTJOIN(", ",TRUE,IF(F74="Work",'設定 Settings'!$A$5,""),IF(F102="Work",'設定 Settings'!$A$6,""),IF(F130="Work",'設定 Settings'!$A$7,""),IF(F158="Work",'設定 Settings'!$A$8,""),IF(F186="Work",'設定 Settings'!$A$9,""))</f>
        <v/>
      </c>
      <c r="G46" s="24">
        <f>TEXTJOIN(", ",TRUE,IF(G74="Work",'設定 Settings'!$A$5,""),IF(G102="Work",'設定 Settings'!$A$6,""),IF(G130="Work",'設定 Settings'!$A$7,""),IF(G158="Work",'設定 Settings'!$A$8,""),IF(G186="Work",'設定 Settings'!$A$9,""))</f>
        <v/>
      </c>
      <c r="H46" s="24">
        <f>TEXTJOIN(", ",TRUE,IF(H74="Work",'設定 Settings'!$A$5,""),IF(H102="Work",'設定 Settings'!$A$6,""),IF(H130="Work",'設定 Settings'!$A$7,""),IF(H158="Work",'設定 Settings'!$A$8,""),IF(H186="Work",'設定 Settings'!$A$9,""))</f>
        <v/>
      </c>
    </row>
    <row r="47">
      <c r="A47" s="22" t="inlineStr">
        <is>
          <t>4:45pm-5:15pm</t>
        </is>
      </c>
      <c r="B47" s="24">
        <f>TEXTJOIN(", ",TRUE,IF(B75="Work",'設定 Settings'!$A$5,""),IF(B103="Work",'設定 Settings'!$A$6,""),IF(B131="Work",'設定 Settings'!$A$7,""),IF(B159="Work",'設定 Settings'!$A$8,""),IF(B187="Work",'設定 Settings'!$A$9,""))</f>
        <v/>
      </c>
      <c r="C47" s="24">
        <f>TEXTJOIN(", ",TRUE,IF(C75="Work",'設定 Settings'!$A$5,""),IF(C103="Work",'設定 Settings'!$A$6,""),IF(C131="Work",'設定 Settings'!$A$7,""),IF(C159="Work",'設定 Settings'!$A$8,""),IF(C187="Work",'設定 Settings'!$A$9,""))</f>
        <v/>
      </c>
      <c r="D47" s="24">
        <f>TEXTJOIN(", ",TRUE,IF(D75="Work",'設定 Settings'!$A$5,""),IF(D103="Work",'設定 Settings'!$A$6,""),IF(D131="Work",'設定 Settings'!$A$7,""),IF(D159="Work",'設定 Settings'!$A$8,""),IF(D187="Work",'設定 Settings'!$A$9,""))</f>
        <v/>
      </c>
      <c r="E47" s="24">
        <f>TEXTJOIN(", ",TRUE,IF(E75="Work",'設定 Settings'!$A$5,""),IF(E103="Work",'設定 Settings'!$A$6,""),IF(E131="Work",'設定 Settings'!$A$7,""),IF(E159="Work",'設定 Settings'!$A$8,""),IF(E187="Work",'設定 Settings'!$A$9,""))</f>
        <v/>
      </c>
      <c r="F47" s="24">
        <f>TEXTJOIN(", ",TRUE,IF(F75="Work",'設定 Settings'!$A$5,""),IF(F103="Work",'設定 Settings'!$A$6,""),IF(F131="Work",'設定 Settings'!$A$7,""),IF(F159="Work",'設定 Settings'!$A$8,""),IF(F187="Work",'設定 Settings'!$A$9,""))</f>
        <v/>
      </c>
      <c r="G47" s="24">
        <f>TEXTJOIN(", ",TRUE,IF(G75="Work",'設定 Settings'!$A$5,""),IF(G103="Work",'設定 Settings'!$A$6,""),IF(G131="Work",'設定 Settings'!$A$7,""),IF(G159="Work",'設定 Settings'!$A$8,""),IF(G187="Work",'設定 Settings'!$A$9,""))</f>
        <v/>
      </c>
      <c r="H47" s="24">
        <f>TEXTJOIN(", ",TRUE,IF(H75="Work",'設定 Settings'!$A$5,""),IF(H103="Work",'設定 Settings'!$A$6,""),IF(H131="Work",'設定 Settings'!$A$7,""),IF(H159="Work",'設定 Settings'!$A$8,""),IF(H187="Work",'設定 Settings'!$A$9,""))</f>
        <v/>
      </c>
    </row>
    <row r="48">
      <c r="A48" s="22" t="inlineStr">
        <is>
          <t>5:15pm-5:45pm</t>
        </is>
      </c>
      <c r="B48" s="24">
        <f>TEXTJOIN(", ",TRUE,IF(B76="Work",'設定 Settings'!$A$5,""),IF(B104="Work",'設定 Settings'!$A$6,""),IF(B132="Work",'設定 Settings'!$A$7,""),IF(B160="Work",'設定 Settings'!$A$8,""),IF(B188="Work",'設定 Settings'!$A$9,""))</f>
        <v/>
      </c>
      <c r="C48" s="24">
        <f>TEXTJOIN(", ",TRUE,IF(C76="Work",'設定 Settings'!$A$5,""),IF(C104="Work",'設定 Settings'!$A$6,""),IF(C132="Work",'設定 Settings'!$A$7,""),IF(C160="Work",'設定 Settings'!$A$8,""),IF(C188="Work",'設定 Settings'!$A$9,""))</f>
        <v/>
      </c>
      <c r="D48" s="24">
        <f>TEXTJOIN(", ",TRUE,IF(D76="Work",'設定 Settings'!$A$5,""),IF(D104="Work",'設定 Settings'!$A$6,""),IF(D132="Work",'設定 Settings'!$A$7,""),IF(D160="Work",'設定 Settings'!$A$8,""),IF(D188="Work",'設定 Settings'!$A$9,""))</f>
        <v/>
      </c>
      <c r="E48" s="24">
        <f>TEXTJOIN(", ",TRUE,IF(E76="Work",'設定 Settings'!$A$5,""),IF(E104="Work",'設定 Settings'!$A$6,""),IF(E132="Work",'設定 Settings'!$A$7,""),IF(E160="Work",'設定 Settings'!$A$8,""),IF(E188="Work",'設定 Settings'!$A$9,""))</f>
        <v/>
      </c>
      <c r="F48" s="24">
        <f>TEXTJOIN(", ",TRUE,IF(F76="Work",'設定 Settings'!$A$5,""),IF(F104="Work",'設定 Settings'!$A$6,""),IF(F132="Work",'設定 Settings'!$A$7,""),IF(F160="Work",'設定 Settings'!$A$8,""),IF(F188="Work",'設定 Settings'!$A$9,""))</f>
        <v/>
      </c>
      <c r="G48" s="24">
        <f>TEXTJOIN(", ",TRUE,IF(G76="Work",'設定 Settings'!$A$5,""),IF(G104="Work",'設定 Settings'!$A$6,""),IF(G132="Work",'設定 Settings'!$A$7,""),IF(G160="Work",'設定 Settings'!$A$8,""),IF(G188="Work",'設定 Settings'!$A$9,""))</f>
        <v/>
      </c>
      <c r="H48" s="24">
        <f>TEXTJOIN(", ",TRUE,IF(H76="Work",'設定 Settings'!$A$5,""),IF(H104="Work",'設定 Settings'!$A$6,""),IF(H132="Work",'設定 Settings'!$A$7,""),IF(H160="Work",'設定 Settings'!$A$8,""),IF(H188="Work",'設定 Settings'!$A$9,""))</f>
        <v/>
      </c>
    </row>
    <row r="49">
      <c r="A49" s="22" t="inlineStr">
        <is>
          <t>5:45pm-6:15pm</t>
        </is>
      </c>
      <c r="B49" s="24">
        <f>TEXTJOIN(", ",TRUE,IF(B77="Work",'設定 Settings'!$A$5,""),IF(B105="Work",'設定 Settings'!$A$6,""),IF(B133="Work",'設定 Settings'!$A$7,""),IF(B161="Work",'設定 Settings'!$A$8,""),IF(B189="Work",'設定 Settings'!$A$9,""))</f>
        <v/>
      </c>
      <c r="C49" s="24">
        <f>TEXTJOIN(", ",TRUE,IF(C77="Work",'設定 Settings'!$A$5,""),IF(C105="Work",'設定 Settings'!$A$6,""),IF(C133="Work",'設定 Settings'!$A$7,""),IF(C161="Work",'設定 Settings'!$A$8,""),IF(C189="Work",'設定 Settings'!$A$9,""))</f>
        <v/>
      </c>
      <c r="D49" s="24">
        <f>TEXTJOIN(", ",TRUE,IF(D77="Work",'設定 Settings'!$A$5,""),IF(D105="Work",'設定 Settings'!$A$6,""),IF(D133="Work",'設定 Settings'!$A$7,""),IF(D161="Work",'設定 Settings'!$A$8,""),IF(D189="Work",'設定 Settings'!$A$9,""))</f>
        <v/>
      </c>
      <c r="E49" s="24">
        <f>TEXTJOIN(", ",TRUE,IF(E77="Work",'設定 Settings'!$A$5,""),IF(E105="Work",'設定 Settings'!$A$6,""),IF(E133="Work",'設定 Settings'!$A$7,""),IF(E161="Work",'設定 Settings'!$A$8,""),IF(E189="Work",'設定 Settings'!$A$9,""))</f>
        <v/>
      </c>
      <c r="F49" s="24">
        <f>TEXTJOIN(", ",TRUE,IF(F77="Work",'設定 Settings'!$A$5,""),IF(F105="Work",'設定 Settings'!$A$6,""),IF(F133="Work",'設定 Settings'!$A$7,""),IF(F161="Work",'設定 Settings'!$A$8,""),IF(F189="Work",'設定 Settings'!$A$9,""))</f>
        <v/>
      </c>
      <c r="G49" s="24">
        <f>TEXTJOIN(", ",TRUE,IF(G77="Work",'設定 Settings'!$A$5,""),IF(G105="Work",'設定 Settings'!$A$6,""),IF(G133="Work",'設定 Settings'!$A$7,""),IF(G161="Work",'設定 Settings'!$A$8,""),IF(G189="Work",'設定 Settings'!$A$9,""))</f>
        <v/>
      </c>
      <c r="H49" s="24">
        <f>TEXTJOIN(", ",TRUE,IF(H77="Work",'設定 Settings'!$A$5,""),IF(H105="Work",'設定 Settings'!$A$6,""),IF(H133="Work",'設定 Settings'!$A$7,""),IF(H161="Work",'設定 Settings'!$A$8,""),IF(H189="Work",'設定 Settings'!$A$9,""))</f>
        <v/>
      </c>
    </row>
    <row r="50">
      <c r="A50" s="22" t="inlineStr">
        <is>
          <t>6:15pm-6:45pm</t>
        </is>
      </c>
      <c r="B50" s="24">
        <f>TEXTJOIN(", ",TRUE,IF(B78="Work",'設定 Settings'!$A$5,""),IF(B106="Work",'設定 Settings'!$A$6,""),IF(B134="Work",'設定 Settings'!$A$7,""),IF(B162="Work",'設定 Settings'!$A$8,""),IF(B190="Work",'設定 Settings'!$A$9,""))</f>
        <v/>
      </c>
      <c r="C50" s="24">
        <f>TEXTJOIN(", ",TRUE,IF(C78="Work",'設定 Settings'!$A$5,""),IF(C106="Work",'設定 Settings'!$A$6,""),IF(C134="Work",'設定 Settings'!$A$7,""),IF(C162="Work",'設定 Settings'!$A$8,""),IF(C190="Work",'設定 Settings'!$A$9,""))</f>
        <v/>
      </c>
      <c r="D50" s="24">
        <f>TEXTJOIN(", ",TRUE,IF(D78="Work",'設定 Settings'!$A$5,""),IF(D106="Work",'設定 Settings'!$A$6,""),IF(D134="Work",'設定 Settings'!$A$7,""),IF(D162="Work",'設定 Settings'!$A$8,""),IF(D190="Work",'設定 Settings'!$A$9,""))</f>
        <v/>
      </c>
      <c r="E50" s="24">
        <f>TEXTJOIN(", ",TRUE,IF(E78="Work",'設定 Settings'!$A$5,""),IF(E106="Work",'設定 Settings'!$A$6,""),IF(E134="Work",'設定 Settings'!$A$7,""),IF(E162="Work",'設定 Settings'!$A$8,""),IF(E190="Work",'設定 Settings'!$A$9,""))</f>
        <v/>
      </c>
      <c r="F50" s="24">
        <f>TEXTJOIN(", ",TRUE,IF(F78="Work",'設定 Settings'!$A$5,""),IF(F106="Work",'設定 Settings'!$A$6,""),IF(F134="Work",'設定 Settings'!$A$7,""),IF(F162="Work",'設定 Settings'!$A$8,""),IF(F190="Work",'設定 Settings'!$A$9,""))</f>
        <v/>
      </c>
      <c r="G50" s="24">
        <f>TEXTJOIN(", ",TRUE,IF(G78="Work",'設定 Settings'!$A$5,""),IF(G106="Work",'設定 Settings'!$A$6,""),IF(G134="Work",'設定 Settings'!$A$7,""),IF(G162="Work",'設定 Settings'!$A$8,""),IF(G190="Work",'設定 Settings'!$A$9,""))</f>
        <v/>
      </c>
      <c r="H50" s="24">
        <f>TEXTJOIN(", ",TRUE,IF(H78="Work",'設定 Settings'!$A$5,""),IF(H106="Work",'設定 Settings'!$A$6,""),IF(H134="Work",'設定 Settings'!$A$7,""),IF(H162="Work",'設定 Settings'!$A$8,""),IF(H190="Work",'設定 Settings'!$A$9,""))</f>
        <v/>
      </c>
    </row>
    <row r="51">
      <c r="A51" s="22" t="inlineStr">
        <is>
          <t>6:45pm-7:15pm</t>
        </is>
      </c>
      <c r="B51" s="24">
        <f>TEXTJOIN(", ",TRUE,IF(B79="Work",'設定 Settings'!$A$5,""),IF(B107="Work",'設定 Settings'!$A$6,""),IF(B135="Work",'設定 Settings'!$A$7,""),IF(B163="Work",'設定 Settings'!$A$8,""),IF(B191="Work",'設定 Settings'!$A$9,""))</f>
        <v/>
      </c>
      <c r="C51" s="24">
        <f>TEXTJOIN(", ",TRUE,IF(C79="Work",'設定 Settings'!$A$5,""),IF(C107="Work",'設定 Settings'!$A$6,""),IF(C135="Work",'設定 Settings'!$A$7,""),IF(C163="Work",'設定 Settings'!$A$8,""),IF(C191="Work",'設定 Settings'!$A$9,""))</f>
        <v/>
      </c>
      <c r="D51" s="24">
        <f>TEXTJOIN(", ",TRUE,IF(D79="Work",'設定 Settings'!$A$5,""),IF(D107="Work",'設定 Settings'!$A$6,""),IF(D135="Work",'設定 Settings'!$A$7,""),IF(D163="Work",'設定 Settings'!$A$8,""),IF(D191="Work",'設定 Settings'!$A$9,""))</f>
        <v/>
      </c>
      <c r="E51" s="24">
        <f>TEXTJOIN(", ",TRUE,IF(E79="Work",'設定 Settings'!$A$5,""),IF(E107="Work",'設定 Settings'!$A$6,""),IF(E135="Work",'設定 Settings'!$A$7,""),IF(E163="Work",'設定 Settings'!$A$8,""),IF(E191="Work",'設定 Settings'!$A$9,""))</f>
        <v/>
      </c>
      <c r="F51" s="24">
        <f>TEXTJOIN(", ",TRUE,IF(F79="Work",'設定 Settings'!$A$5,""),IF(F107="Work",'設定 Settings'!$A$6,""),IF(F135="Work",'設定 Settings'!$A$7,""),IF(F163="Work",'設定 Settings'!$A$8,""),IF(F191="Work",'設定 Settings'!$A$9,""))</f>
        <v/>
      </c>
      <c r="G51" s="24">
        <f>TEXTJOIN(", ",TRUE,IF(G79="Work",'設定 Settings'!$A$5,""),IF(G107="Work",'設定 Settings'!$A$6,""),IF(G135="Work",'設定 Settings'!$A$7,""),IF(G163="Work",'設定 Settings'!$A$8,""),IF(G191="Work",'設定 Settings'!$A$9,""))</f>
        <v/>
      </c>
      <c r="H51" s="24">
        <f>TEXTJOIN(", ",TRUE,IF(H79="Work",'設定 Settings'!$A$5,""),IF(H107="Work",'設定 Settings'!$A$6,""),IF(H135="Work",'設定 Settings'!$A$7,""),IF(H163="Work",'設定 Settings'!$A$8,""),IF(H191="Work",'設定 Settings'!$A$9,""))</f>
        <v/>
      </c>
    </row>
    <row r="52">
      <c r="A52" s="22" t="inlineStr">
        <is>
          <t>7:15pm-7:45pm</t>
        </is>
      </c>
      <c r="B52" s="24">
        <f>TEXTJOIN(", ",TRUE,IF(B80="Work",'設定 Settings'!$A$5,""),IF(B108="Work",'設定 Settings'!$A$6,""),IF(B136="Work",'設定 Settings'!$A$7,""),IF(B164="Work",'設定 Settings'!$A$8,""),IF(B192="Work",'設定 Settings'!$A$9,""))</f>
        <v/>
      </c>
      <c r="C52" s="24">
        <f>TEXTJOIN(", ",TRUE,IF(C80="Work",'設定 Settings'!$A$5,""),IF(C108="Work",'設定 Settings'!$A$6,""),IF(C136="Work",'設定 Settings'!$A$7,""),IF(C164="Work",'設定 Settings'!$A$8,""),IF(C192="Work",'設定 Settings'!$A$9,""))</f>
        <v/>
      </c>
      <c r="D52" s="24">
        <f>TEXTJOIN(", ",TRUE,IF(D80="Work",'設定 Settings'!$A$5,""),IF(D108="Work",'設定 Settings'!$A$6,""),IF(D136="Work",'設定 Settings'!$A$7,""),IF(D164="Work",'設定 Settings'!$A$8,""),IF(D192="Work",'設定 Settings'!$A$9,""))</f>
        <v/>
      </c>
      <c r="E52" s="24">
        <f>TEXTJOIN(", ",TRUE,IF(E80="Work",'設定 Settings'!$A$5,""),IF(E108="Work",'設定 Settings'!$A$6,""),IF(E136="Work",'設定 Settings'!$A$7,""),IF(E164="Work",'設定 Settings'!$A$8,""),IF(E192="Work",'設定 Settings'!$A$9,""))</f>
        <v/>
      </c>
      <c r="F52" s="24">
        <f>TEXTJOIN(", ",TRUE,IF(F80="Work",'設定 Settings'!$A$5,""),IF(F108="Work",'設定 Settings'!$A$6,""),IF(F136="Work",'設定 Settings'!$A$7,""),IF(F164="Work",'設定 Settings'!$A$8,""),IF(F192="Work",'設定 Settings'!$A$9,""))</f>
        <v/>
      </c>
      <c r="G52" s="24">
        <f>TEXTJOIN(", ",TRUE,IF(G80="Work",'設定 Settings'!$A$5,""),IF(G108="Work",'設定 Settings'!$A$6,""),IF(G136="Work",'設定 Settings'!$A$7,""),IF(G164="Work",'設定 Settings'!$A$8,""),IF(G192="Work",'設定 Settings'!$A$9,""))</f>
        <v/>
      </c>
      <c r="H52" s="24">
        <f>TEXTJOIN(", ",TRUE,IF(H80="Work",'設定 Settings'!$A$5,""),IF(H108="Work",'設定 Settings'!$A$6,""),IF(H136="Work",'設定 Settings'!$A$7,""),IF(H164="Work",'設定 Settings'!$A$8,""),IF(H192="Work",'設定 Settings'!$A$9,""))</f>
        <v/>
      </c>
    </row>
    <row r="53">
      <c r="A53" s="22" t="inlineStr">
        <is>
          <t>7:45pm-8:15pm</t>
        </is>
      </c>
      <c r="B53" s="24">
        <f>TEXTJOIN(", ",TRUE,IF(B81="Work",'設定 Settings'!$A$5,""),IF(B109="Work",'設定 Settings'!$A$6,""),IF(B137="Work",'設定 Settings'!$A$7,""),IF(B165="Work",'設定 Settings'!$A$8,""),IF(B193="Work",'設定 Settings'!$A$9,""))</f>
        <v/>
      </c>
      <c r="C53" s="24">
        <f>TEXTJOIN(", ",TRUE,IF(C81="Work",'設定 Settings'!$A$5,""),IF(C109="Work",'設定 Settings'!$A$6,""),IF(C137="Work",'設定 Settings'!$A$7,""),IF(C165="Work",'設定 Settings'!$A$8,""),IF(C193="Work",'設定 Settings'!$A$9,""))</f>
        <v/>
      </c>
      <c r="D53" s="24">
        <f>TEXTJOIN(", ",TRUE,IF(D81="Work",'設定 Settings'!$A$5,""),IF(D109="Work",'設定 Settings'!$A$6,""),IF(D137="Work",'設定 Settings'!$A$7,""),IF(D165="Work",'設定 Settings'!$A$8,""),IF(D193="Work",'設定 Settings'!$A$9,""))</f>
        <v/>
      </c>
      <c r="E53" s="24">
        <f>TEXTJOIN(", ",TRUE,IF(E81="Work",'設定 Settings'!$A$5,""),IF(E109="Work",'設定 Settings'!$A$6,""),IF(E137="Work",'設定 Settings'!$A$7,""),IF(E165="Work",'設定 Settings'!$A$8,""),IF(E193="Work",'設定 Settings'!$A$9,""))</f>
        <v/>
      </c>
      <c r="F53" s="24">
        <f>TEXTJOIN(", ",TRUE,IF(F81="Work",'設定 Settings'!$A$5,""),IF(F109="Work",'設定 Settings'!$A$6,""),IF(F137="Work",'設定 Settings'!$A$7,""),IF(F165="Work",'設定 Settings'!$A$8,""),IF(F193="Work",'設定 Settings'!$A$9,""))</f>
        <v/>
      </c>
      <c r="G53" s="24">
        <f>TEXTJOIN(", ",TRUE,IF(G81="Work",'設定 Settings'!$A$5,""),IF(G109="Work",'設定 Settings'!$A$6,""),IF(G137="Work",'設定 Settings'!$A$7,""),IF(G165="Work",'設定 Settings'!$A$8,""),IF(G193="Work",'設定 Settings'!$A$9,""))</f>
        <v/>
      </c>
      <c r="H53" s="24">
        <f>TEXTJOIN(", ",TRUE,IF(H81="Work",'設定 Settings'!$A$5,""),IF(H109="Work",'設定 Settings'!$A$6,""),IF(H137="Work",'設定 Settings'!$A$7,""),IF(H165="Work",'設定 Settings'!$A$8,""),IF(H193="Work",'設定 Settings'!$A$9,""))</f>
        <v/>
      </c>
    </row>
    <row r="54">
      <c r="A54" s="22" t="inlineStr">
        <is>
          <t>8:15pm-8:45pm</t>
        </is>
      </c>
      <c r="B54" s="24">
        <f>TEXTJOIN(", ",TRUE,IF(B82="Work",'設定 Settings'!$A$5,""),IF(B110="Work",'設定 Settings'!$A$6,""),IF(B138="Work",'設定 Settings'!$A$7,""),IF(B166="Work",'設定 Settings'!$A$8,""),IF(B194="Work",'設定 Settings'!$A$9,""))</f>
        <v/>
      </c>
      <c r="C54" s="24">
        <f>TEXTJOIN(", ",TRUE,IF(C82="Work",'設定 Settings'!$A$5,""),IF(C110="Work",'設定 Settings'!$A$6,""),IF(C138="Work",'設定 Settings'!$A$7,""),IF(C166="Work",'設定 Settings'!$A$8,""),IF(C194="Work",'設定 Settings'!$A$9,""))</f>
        <v/>
      </c>
      <c r="D54" s="24">
        <f>TEXTJOIN(", ",TRUE,IF(D82="Work",'設定 Settings'!$A$5,""),IF(D110="Work",'設定 Settings'!$A$6,""),IF(D138="Work",'設定 Settings'!$A$7,""),IF(D166="Work",'設定 Settings'!$A$8,""),IF(D194="Work",'設定 Settings'!$A$9,""))</f>
        <v/>
      </c>
      <c r="E54" s="24">
        <f>TEXTJOIN(", ",TRUE,IF(E82="Work",'設定 Settings'!$A$5,""),IF(E110="Work",'設定 Settings'!$A$6,""),IF(E138="Work",'設定 Settings'!$A$7,""),IF(E166="Work",'設定 Settings'!$A$8,""),IF(E194="Work",'設定 Settings'!$A$9,""))</f>
        <v/>
      </c>
      <c r="F54" s="24">
        <f>TEXTJOIN(", ",TRUE,IF(F82="Work",'設定 Settings'!$A$5,""),IF(F110="Work",'設定 Settings'!$A$6,""),IF(F138="Work",'設定 Settings'!$A$7,""),IF(F166="Work",'設定 Settings'!$A$8,""),IF(F194="Work",'設定 Settings'!$A$9,""))</f>
        <v/>
      </c>
      <c r="G54" s="24">
        <f>TEXTJOIN(", ",TRUE,IF(G82="Work",'設定 Settings'!$A$5,""),IF(G110="Work",'設定 Settings'!$A$6,""),IF(G138="Work",'設定 Settings'!$A$7,""),IF(G166="Work",'設定 Settings'!$A$8,""),IF(G194="Work",'設定 Settings'!$A$9,""))</f>
        <v/>
      </c>
      <c r="H54" s="24">
        <f>TEXTJOIN(", ",TRUE,IF(H82="Work",'設定 Settings'!$A$5,""),IF(H110="Work",'設定 Settings'!$A$6,""),IF(H138="Work",'設定 Settings'!$A$7,""),IF(H166="Work",'設定 Settings'!$A$8,""),IF(H194="Work",'設定 Settings'!$A$9,""))</f>
        <v/>
      </c>
    </row>
    <row r="55">
      <c r="A55" s="22" t="inlineStr">
        <is>
          <t>8:45pm-9:15pm</t>
        </is>
      </c>
      <c r="B55" s="24">
        <f>TEXTJOIN(", ",TRUE,IF(B83="Work",'設定 Settings'!$A$5,""),IF(B111="Work",'設定 Settings'!$A$6,""),IF(B139="Work",'設定 Settings'!$A$7,""),IF(B167="Work",'設定 Settings'!$A$8,""),IF(B195="Work",'設定 Settings'!$A$9,""))</f>
        <v/>
      </c>
      <c r="C55" s="24">
        <f>TEXTJOIN(", ",TRUE,IF(C83="Work",'設定 Settings'!$A$5,""),IF(C111="Work",'設定 Settings'!$A$6,""),IF(C139="Work",'設定 Settings'!$A$7,""),IF(C167="Work",'設定 Settings'!$A$8,""),IF(C195="Work",'設定 Settings'!$A$9,""))</f>
        <v/>
      </c>
      <c r="D55" s="24">
        <f>TEXTJOIN(", ",TRUE,IF(D83="Work",'設定 Settings'!$A$5,""),IF(D111="Work",'設定 Settings'!$A$6,""),IF(D139="Work",'設定 Settings'!$A$7,""),IF(D167="Work",'設定 Settings'!$A$8,""),IF(D195="Work",'設定 Settings'!$A$9,""))</f>
        <v/>
      </c>
      <c r="E55" s="24">
        <f>TEXTJOIN(", ",TRUE,IF(E83="Work",'設定 Settings'!$A$5,""),IF(E111="Work",'設定 Settings'!$A$6,""),IF(E139="Work",'設定 Settings'!$A$7,""),IF(E167="Work",'設定 Settings'!$A$8,""),IF(E195="Work",'設定 Settings'!$A$9,""))</f>
        <v/>
      </c>
      <c r="F55" s="24">
        <f>TEXTJOIN(", ",TRUE,IF(F83="Work",'設定 Settings'!$A$5,""),IF(F111="Work",'設定 Settings'!$A$6,""),IF(F139="Work",'設定 Settings'!$A$7,""),IF(F167="Work",'設定 Settings'!$A$8,""),IF(F195="Work",'設定 Settings'!$A$9,""))</f>
        <v/>
      </c>
      <c r="G55" s="24">
        <f>TEXTJOIN(", ",TRUE,IF(G83="Work",'設定 Settings'!$A$5,""),IF(G111="Work",'設定 Settings'!$A$6,""),IF(G139="Work",'設定 Settings'!$A$7,""),IF(G167="Work",'設定 Settings'!$A$8,""),IF(G195="Work",'設定 Settings'!$A$9,""))</f>
        <v/>
      </c>
      <c r="H55" s="24">
        <f>TEXTJOIN(", ",TRUE,IF(H83="Work",'設定 Settings'!$A$5,""),IF(H111="Work",'設定 Settings'!$A$6,""),IF(H139="Work",'設定 Settings'!$A$7,""),IF(H167="Work",'設定 Settings'!$A$8,""),IF(H195="Work",'設定 Settings'!$A$9,""))</f>
        <v/>
      </c>
    </row>
    <row r="56">
      <c r="A56" s="22" t="inlineStr">
        <is>
          <t>9:15pm-9:45pm</t>
        </is>
      </c>
      <c r="B56" s="24">
        <f>TEXTJOIN(", ",TRUE,IF(B84="Work",'設定 Settings'!$A$5,""),IF(B112="Work",'設定 Settings'!$A$6,""),IF(B140="Work",'設定 Settings'!$A$7,""),IF(B168="Work",'設定 Settings'!$A$8,""),IF(B196="Work",'設定 Settings'!$A$9,""))</f>
        <v/>
      </c>
      <c r="C56" s="24">
        <f>TEXTJOIN(", ",TRUE,IF(C84="Work",'設定 Settings'!$A$5,""),IF(C112="Work",'設定 Settings'!$A$6,""),IF(C140="Work",'設定 Settings'!$A$7,""),IF(C168="Work",'設定 Settings'!$A$8,""),IF(C196="Work",'設定 Settings'!$A$9,""))</f>
        <v/>
      </c>
      <c r="D56" s="24">
        <f>TEXTJOIN(", ",TRUE,IF(D84="Work",'設定 Settings'!$A$5,""),IF(D112="Work",'設定 Settings'!$A$6,""),IF(D140="Work",'設定 Settings'!$A$7,""),IF(D168="Work",'設定 Settings'!$A$8,""),IF(D196="Work",'設定 Settings'!$A$9,""))</f>
        <v/>
      </c>
      <c r="E56" s="24">
        <f>TEXTJOIN(", ",TRUE,IF(E84="Work",'設定 Settings'!$A$5,""),IF(E112="Work",'設定 Settings'!$A$6,""),IF(E140="Work",'設定 Settings'!$A$7,""),IF(E168="Work",'設定 Settings'!$A$8,""),IF(E196="Work",'設定 Settings'!$A$9,""))</f>
        <v/>
      </c>
      <c r="F56" s="24">
        <f>TEXTJOIN(", ",TRUE,IF(F84="Work",'設定 Settings'!$A$5,""),IF(F112="Work",'設定 Settings'!$A$6,""),IF(F140="Work",'設定 Settings'!$A$7,""),IF(F168="Work",'設定 Settings'!$A$8,""),IF(F196="Work",'設定 Settings'!$A$9,""))</f>
        <v/>
      </c>
      <c r="G56" s="24">
        <f>TEXTJOIN(", ",TRUE,IF(G84="Work",'設定 Settings'!$A$5,""),IF(G112="Work",'設定 Settings'!$A$6,""),IF(G140="Work",'設定 Settings'!$A$7,""),IF(G168="Work",'設定 Settings'!$A$8,""),IF(G196="Work",'設定 Settings'!$A$9,""))</f>
        <v/>
      </c>
      <c r="H56" s="24">
        <f>TEXTJOIN(", ",TRUE,IF(H84="Work",'設定 Settings'!$A$5,""),IF(H112="Work",'設定 Settings'!$A$6,""),IF(H140="Work",'設定 Settings'!$A$7,""),IF(H168="Work",'設定 Settings'!$A$8,""),IF(H196="Work",'設定 Settings'!$A$9,""))</f>
        <v/>
      </c>
    </row>
    <row r="57">
      <c r="A57" s="22" t="inlineStr">
        <is>
          <t>9:45pm-10:15pm</t>
        </is>
      </c>
      <c r="B57" s="24">
        <f>TEXTJOIN(", ",TRUE,IF(B85="Work",'設定 Settings'!$A$5,""),IF(B113="Work",'設定 Settings'!$A$6,""),IF(B141="Work",'設定 Settings'!$A$7,""),IF(B169="Work",'設定 Settings'!$A$8,""),IF(B197="Work",'設定 Settings'!$A$9,""))</f>
        <v/>
      </c>
      <c r="C57" s="24">
        <f>TEXTJOIN(", ",TRUE,IF(C85="Work",'設定 Settings'!$A$5,""),IF(C113="Work",'設定 Settings'!$A$6,""),IF(C141="Work",'設定 Settings'!$A$7,""),IF(C169="Work",'設定 Settings'!$A$8,""),IF(C197="Work",'設定 Settings'!$A$9,""))</f>
        <v/>
      </c>
      <c r="D57" s="24">
        <f>TEXTJOIN(", ",TRUE,IF(D85="Work",'設定 Settings'!$A$5,""),IF(D113="Work",'設定 Settings'!$A$6,""),IF(D141="Work",'設定 Settings'!$A$7,""),IF(D169="Work",'設定 Settings'!$A$8,""),IF(D197="Work",'設定 Settings'!$A$9,""))</f>
        <v/>
      </c>
      <c r="E57" s="24">
        <f>TEXTJOIN(", ",TRUE,IF(E85="Work",'設定 Settings'!$A$5,""),IF(E113="Work",'設定 Settings'!$A$6,""),IF(E141="Work",'設定 Settings'!$A$7,""),IF(E169="Work",'設定 Settings'!$A$8,""),IF(E197="Work",'設定 Settings'!$A$9,""))</f>
        <v/>
      </c>
      <c r="F57" s="24">
        <f>TEXTJOIN(", ",TRUE,IF(F85="Work",'設定 Settings'!$A$5,""),IF(F113="Work",'設定 Settings'!$A$6,""),IF(F141="Work",'設定 Settings'!$A$7,""),IF(F169="Work",'設定 Settings'!$A$8,""),IF(F197="Work",'設定 Settings'!$A$9,""))</f>
        <v/>
      </c>
      <c r="G57" s="24">
        <f>TEXTJOIN(", ",TRUE,IF(G85="Work",'設定 Settings'!$A$5,""),IF(G113="Work",'設定 Settings'!$A$6,""),IF(G141="Work",'設定 Settings'!$A$7,""),IF(G169="Work",'設定 Settings'!$A$8,""),IF(G197="Work",'設定 Settings'!$A$9,""))</f>
        <v/>
      </c>
      <c r="H57" s="24">
        <f>TEXTJOIN(", ",TRUE,IF(H85="Work",'設定 Settings'!$A$5,""),IF(H113="Work",'設定 Settings'!$A$6,""),IF(H141="Work",'設定 Settings'!$A$7,""),IF(H169="Work",'設定 Settings'!$A$8,""),IF(H197="Work",'設定 Settings'!$A$9,""))</f>
        <v/>
      </c>
    </row>
    <row r="59">
      <c r="A59" s="25">
        <f>"員工更表："&amp;'設定 Settings'!$A$5</f>
        <v/>
      </c>
    </row>
    <row r="60">
      <c r="A60" s="17" t="inlineStr">
        <is>
          <t>時段＼員工</t>
        </is>
      </c>
      <c r="B60" s="17" t="inlineStr">
        <is>
          <t>星期一</t>
        </is>
      </c>
      <c r="C60" s="17" t="inlineStr">
        <is>
          <t>星期二</t>
        </is>
      </c>
      <c r="D60" s="17" t="inlineStr">
        <is>
          <t>星期三</t>
        </is>
      </c>
      <c r="E60" s="17" t="inlineStr">
        <is>
          <t>星期四</t>
        </is>
      </c>
      <c r="F60" s="17" t="inlineStr">
        <is>
          <t>星期五</t>
        </is>
      </c>
      <c r="G60" s="21" t="inlineStr">
        <is>
          <t>星期六</t>
        </is>
      </c>
      <c r="H60" s="21" t="inlineStr">
        <is>
          <t>星期日</t>
        </is>
      </c>
    </row>
    <row r="61">
      <c r="A61" s="22" t="inlineStr">
        <is>
          <t>9:45am-10:15am</t>
        </is>
      </c>
      <c r="B61" s="24">
        <f>IF(OR(SUMIFS('員工更表輸入'!$D$5:$D$39,'員工更表輸入'!$A$5:$A$39,'設定 Settings'!$A$5,'員工更表輸入'!$B$5:$B$39,B$60)&lt;=0,Lists!$C$2&lt;SUMIFS('員工更表輸入'!$C$5:$C$39,'員工更表輸入'!$A$5:$A$39,'設定 Settings'!$A$5,'員工更表輸入'!$B$5:$B$39,B$60),Lists!$C$2&gt;=SUMIFS('員工更表輸入'!$D$5:$D$39,'員工更表輸入'!$A$5:$A$39,'設定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Settings'!$A$5,'員工更表輸入'!$B$5:$B$39,B$60)&gt;0,Lists!$C$2&gt;=SUMIFS('員工更表輸入'!$E$5:$E$39,'員工更表輸入'!$A$5:$A$39,'設定 Settings'!$A$5,'員工更表輸入'!$B$5:$B$39,B$60),Lists!$C$2&lt;SUMIFS('員工更表輸入'!$F$5:$F$39,'員工更表輸入'!$A$5:$A$39,'設定 Settings'!$A$5,'員工更表輸入'!$B$5:$B$39,B$60)),"Break","Work"))</f>
        <v/>
      </c>
      <c r="C61" s="24">
        <f>IF(OR(SUMIFS('員工更表輸入'!$D$5:$D$39,'員工更表輸入'!$A$5:$A$39,'設定 Settings'!$A$5,'員工更表輸入'!$B$5:$B$39,C$60)&lt;=0,Lists!$C$2&lt;SUMIFS('員工更表輸入'!$C$5:$C$39,'員工更表輸入'!$A$5:$A$39,'設定 Settings'!$A$5,'員工更表輸入'!$B$5:$B$39,C$60),Lists!$C$2&gt;=SUMIFS('員工更表輸入'!$D$5:$D$39,'員工更表輸入'!$A$5:$A$39,'設定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Settings'!$A$5,'員工更表輸入'!$B$5:$B$39,C$60)&gt;0,Lists!$C$2&gt;=SUMIFS('員工更表輸入'!$E$5:$E$39,'員工更表輸入'!$A$5:$A$39,'設定 Settings'!$A$5,'員工更表輸入'!$B$5:$B$39,C$60),Lists!$C$2&lt;SUMIFS('員工更表輸入'!$F$5:$F$39,'員工更表輸入'!$A$5:$A$39,'設定 Settings'!$A$5,'員工更表輸入'!$B$5:$B$39,C$60)),"Break","Work"))</f>
        <v/>
      </c>
      <c r="D61" s="24">
        <f>IF(OR(SUMIFS('員工更表輸入'!$D$5:$D$39,'員工更表輸入'!$A$5:$A$39,'設定 Settings'!$A$5,'員工更表輸入'!$B$5:$B$39,D$60)&lt;=0,Lists!$C$2&lt;SUMIFS('員工更表輸入'!$C$5:$C$39,'員工更表輸入'!$A$5:$A$39,'設定 Settings'!$A$5,'員工更表輸入'!$B$5:$B$39,D$60),Lists!$C$2&gt;=SUMIFS('員工更表輸入'!$D$5:$D$39,'員工更表輸入'!$A$5:$A$39,'設定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Settings'!$A$5,'員工更表輸入'!$B$5:$B$39,D$60)&gt;0,Lists!$C$2&gt;=SUMIFS('員工更表輸入'!$E$5:$E$39,'員工更表輸入'!$A$5:$A$39,'設定 Settings'!$A$5,'員工更表輸入'!$B$5:$B$39,D$60),Lists!$C$2&lt;SUMIFS('員工更表輸入'!$F$5:$F$39,'員工更表輸入'!$A$5:$A$39,'設定 Settings'!$A$5,'員工更表輸入'!$B$5:$B$39,D$60)),"Break","Work"))</f>
        <v/>
      </c>
      <c r="E61" s="24">
        <f>IF(OR(SUMIFS('員工更表輸入'!$D$5:$D$39,'員工更表輸入'!$A$5:$A$39,'設定 Settings'!$A$5,'員工更表輸入'!$B$5:$B$39,E$60)&lt;=0,Lists!$C$2&lt;SUMIFS('員工更表輸入'!$C$5:$C$39,'員工更表輸入'!$A$5:$A$39,'設定 Settings'!$A$5,'員工更表輸入'!$B$5:$B$39,E$60),Lists!$C$2&gt;=SUMIFS('員工更表輸入'!$D$5:$D$39,'員工更表輸入'!$A$5:$A$39,'設定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Settings'!$A$5,'員工更表輸入'!$B$5:$B$39,E$60)&gt;0,Lists!$C$2&gt;=SUMIFS('員工更表輸入'!$E$5:$E$39,'員工更表輸入'!$A$5:$A$39,'設定 Settings'!$A$5,'員工更表輸入'!$B$5:$B$39,E$60),Lists!$C$2&lt;SUMIFS('員工更表輸入'!$F$5:$F$39,'員工更表輸入'!$A$5:$A$39,'設定 Settings'!$A$5,'員工更表輸入'!$B$5:$B$39,E$60)),"Break","Work"))</f>
        <v/>
      </c>
      <c r="F61" s="24">
        <f>IF(OR(SUMIFS('員工更表輸入'!$D$5:$D$39,'員工更表輸入'!$A$5:$A$39,'設定 Settings'!$A$5,'員工更表輸入'!$B$5:$B$39,F$60)&lt;=0,Lists!$C$2&lt;SUMIFS('員工更表輸入'!$C$5:$C$39,'員工更表輸入'!$A$5:$A$39,'設定 Settings'!$A$5,'員工更表輸入'!$B$5:$B$39,F$60),Lists!$C$2&gt;=SUMIFS('員工更表輸入'!$D$5:$D$39,'員工更表輸入'!$A$5:$A$39,'設定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Settings'!$A$5,'員工更表輸入'!$B$5:$B$39,F$60)&gt;0,Lists!$C$2&gt;=SUMIFS('員工更表輸入'!$E$5:$E$39,'員工更表輸入'!$A$5:$A$39,'設定 Settings'!$A$5,'員工更表輸入'!$B$5:$B$39,F$60),Lists!$C$2&lt;SUMIFS('員工更表輸入'!$F$5:$F$39,'員工更表輸入'!$A$5:$A$39,'設定 Settings'!$A$5,'員工更表輸入'!$B$5:$B$39,F$60)),"Break","Work"))</f>
        <v/>
      </c>
      <c r="G61" s="24">
        <f>IF(OR(SUMIFS('員工更表輸入'!$D$5:$D$39,'員工更表輸入'!$A$5:$A$39,'設定 Settings'!$A$5,'員工更表輸入'!$B$5:$B$39,G$60)&lt;=0,Lists!$C$2&lt;SUMIFS('員工更表輸入'!$C$5:$C$39,'員工更表輸入'!$A$5:$A$39,'設定 Settings'!$A$5,'員工更表輸入'!$B$5:$B$39,G$60),Lists!$C$2&gt;=SUMIFS('員工更表輸入'!$D$5:$D$39,'員工更表輸入'!$A$5:$A$39,'設定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Settings'!$A$5,'員工更表輸入'!$B$5:$B$39,G$60)&gt;0,Lists!$C$2&gt;=SUMIFS('員工更表輸入'!$E$5:$E$39,'員工更表輸入'!$A$5:$A$39,'設定 Settings'!$A$5,'員工更表輸入'!$B$5:$B$39,G$60),Lists!$C$2&lt;SUMIFS('員工更表輸入'!$F$5:$F$39,'員工更表輸入'!$A$5:$A$39,'設定 Settings'!$A$5,'員工更表輸入'!$B$5:$B$39,G$60)),"Break","Work"))</f>
        <v/>
      </c>
      <c r="H61" s="24">
        <f>IF(OR(SUMIFS('員工更表輸入'!$D$5:$D$39,'員工更表輸入'!$A$5:$A$39,'設定 Settings'!$A$5,'員工更表輸入'!$B$5:$B$39,H$60)&lt;=0,Lists!$C$2&lt;SUMIFS('員工更表輸入'!$C$5:$C$39,'員工更表輸入'!$A$5:$A$39,'設定 Settings'!$A$5,'員工更表輸入'!$B$5:$B$39,H$60),Lists!$C$2&gt;=SUMIFS('員工更表輸入'!$D$5:$D$39,'員工更表輸入'!$A$5:$A$39,'設定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Settings'!$A$5,'員工更表輸入'!$B$5:$B$39,H$60)&gt;0,Lists!$C$2&gt;=SUMIFS('員工更表輸入'!$E$5:$E$39,'員工更表輸入'!$A$5:$A$39,'設定 Settings'!$A$5,'員工更表輸入'!$B$5:$B$39,H$60),Lists!$C$2&lt;SUMIFS('員工更表輸入'!$F$5:$F$39,'員工更表輸入'!$A$5:$A$39,'設定 Settings'!$A$5,'員工更表輸入'!$B$5:$B$39,H$60)),"Break","Work"))</f>
        <v/>
      </c>
    </row>
    <row r="62">
      <c r="A62" s="22" t="inlineStr">
        <is>
          <t>10:15am-10:45am</t>
        </is>
      </c>
      <c r="B62" s="24">
        <f>IF(OR(SUMIFS('員工更表輸入'!$D$5:$D$39,'員工更表輸入'!$A$5:$A$39,'設定 Settings'!$A$5,'員工更表輸入'!$B$5:$B$39,B$60)&lt;=0,Lists!$C$3&lt;SUMIFS('員工更表輸入'!$C$5:$C$39,'員工更表輸入'!$A$5:$A$39,'設定 Settings'!$A$5,'員工更表輸入'!$B$5:$B$39,B$60),Lists!$C$3&gt;=SUMIFS('員工更表輸入'!$D$5:$D$39,'員工更表輸入'!$A$5:$A$39,'設定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Settings'!$A$5,'員工更表輸入'!$B$5:$B$39,B$60)&gt;0,Lists!$C$3&gt;=SUMIFS('員工更表輸入'!$E$5:$E$39,'員工更表輸入'!$A$5:$A$39,'設定 Settings'!$A$5,'員工更表輸入'!$B$5:$B$39,B$60),Lists!$C$3&lt;SUMIFS('員工更表輸入'!$F$5:$F$39,'員工更表輸入'!$A$5:$A$39,'設定 Settings'!$A$5,'員工更表輸入'!$B$5:$B$39,B$60)),"Break","Work"))</f>
        <v/>
      </c>
      <c r="C62" s="24">
        <f>IF(OR(SUMIFS('員工更表輸入'!$D$5:$D$39,'員工更表輸入'!$A$5:$A$39,'設定 Settings'!$A$5,'員工更表輸入'!$B$5:$B$39,C$60)&lt;=0,Lists!$C$3&lt;SUMIFS('員工更表輸入'!$C$5:$C$39,'員工更表輸入'!$A$5:$A$39,'設定 Settings'!$A$5,'員工更表輸入'!$B$5:$B$39,C$60),Lists!$C$3&gt;=SUMIFS('員工更表輸入'!$D$5:$D$39,'員工更表輸入'!$A$5:$A$39,'設定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Settings'!$A$5,'員工更表輸入'!$B$5:$B$39,C$60)&gt;0,Lists!$C$3&gt;=SUMIFS('員工更表輸入'!$E$5:$E$39,'員工更表輸入'!$A$5:$A$39,'設定 Settings'!$A$5,'員工更表輸入'!$B$5:$B$39,C$60),Lists!$C$3&lt;SUMIFS('員工更表輸入'!$F$5:$F$39,'員工更表輸入'!$A$5:$A$39,'設定 Settings'!$A$5,'員工更表輸入'!$B$5:$B$39,C$60)),"Break","Work"))</f>
        <v/>
      </c>
      <c r="D62" s="24">
        <f>IF(OR(SUMIFS('員工更表輸入'!$D$5:$D$39,'員工更表輸入'!$A$5:$A$39,'設定 Settings'!$A$5,'員工更表輸入'!$B$5:$B$39,D$60)&lt;=0,Lists!$C$3&lt;SUMIFS('員工更表輸入'!$C$5:$C$39,'員工更表輸入'!$A$5:$A$39,'設定 Settings'!$A$5,'員工更表輸入'!$B$5:$B$39,D$60),Lists!$C$3&gt;=SUMIFS('員工更表輸入'!$D$5:$D$39,'員工更表輸入'!$A$5:$A$39,'設定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Settings'!$A$5,'員工更表輸入'!$B$5:$B$39,D$60)&gt;0,Lists!$C$3&gt;=SUMIFS('員工更表輸入'!$E$5:$E$39,'員工更表輸入'!$A$5:$A$39,'設定 Settings'!$A$5,'員工更表輸入'!$B$5:$B$39,D$60),Lists!$C$3&lt;SUMIFS('員工更表輸入'!$F$5:$F$39,'員工更表輸入'!$A$5:$A$39,'設定 Settings'!$A$5,'員工更表輸入'!$B$5:$B$39,D$60)),"Break","Work"))</f>
        <v/>
      </c>
      <c r="E62" s="24">
        <f>IF(OR(SUMIFS('員工更表輸入'!$D$5:$D$39,'員工更表輸入'!$A$5:$A$39,'設定 Settings'!$A$5,'員工更表輸入'!$B$5:$B$39,E$60)&lt;=0,Lists!$C$3&lt;SUMIFS('員工更表輸入'!$C$5:$C$39,'員工更表輸入'!$A$5:$A$39,'設定 Settings'!$A$5,'員工更表輸入'!$B$5:$B$39,E$60),Lists!$C$3&gt;=SUMIFS('員工更表輸入'!$D$5:$D$39,'員工更表輸入'!$A$5:$A$39,'設定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Settings'!$A$5,'員工更表輸入'!$B$5:$B$39,E$60)&gt;0,Lists!$C$3&gt;=SUMIFS('員工更表輸入'!$E$5:$E$39,'員工更表輸入'!$A$5:$A$39,'設定 Settings'!$A$5,'員工更表輸入'!$B$5:$B$39,E$60),Lists!$C$3&lt;SUMIFS('員工更表輸入'!$F$5:$F$39,'員工更表輸入'!$A$5:$A$39,'設定 Settings'!$A$5,'員工更表輸入'!$B$5:$B$39,E$60)),"Break","Work"))</f>
        <v/>
      </c>
      <c r="F62" s="24">
        <f>IF(OR(SUMIFS('員工更表輸入'!$D$5:$D$39,'員工更表輸入'!$A$5:$A$39,'設定 Settings'!$A$5,'員工更表輸入'!$B$5:$B$39,F$60)&lt;=0,Lists!$C$3&lt;SUMIFS('員工更表輸入'!$C$5:$C$39,'員工更表輸入'!$A$5:$A$39,'設定 Settings'!$A$5,'員工更表輸入'!$B$5:$B$39,F$60),Lists!$C$3&gt;=SUMIFS('員工更表輸入'!$D$5:$D$39,'員工更表輸入'!$A$5:$A$39,'設定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Settings'!$A$5,'員工更表輸入'!$B$5:$B$39,F$60)&gt;0,Lists!$C$3&gt;=SUMIFS('員工更表輸入'!$E$5:$E$39,'員工更表輸入'!$A$5:$A$39,'設定 Settings'!$A$5,'員工更表輸入'!$B$5:$B$39,F$60),Lists!$C$3&lt;SUMIFS('員工更表輸入'!$F$5:$F$39,'員工更表輸入'!$A$5:$A$39,'設定 Settings'!$A$5,'員工更表輸入'!$B$5:$B$39,F$60)),"Break","Work"))</f>
        <v/>
      </c>
      <c r="G62" s="24">
        <f>IF(OR(SUMIFS('員工更表輸入'!$D$5:$D$39,'員工更表輸入'!$A$5:$A$39,'設定 Settings'!$A$5,'員工更表輸入'!$B$5:$B$39,G$60)&lt;=0,Lists!$C$3&lt;SUMIFS('員工更表輸入'!$C$5:$C$39,'員工更表輸入'!$A$5:$A$39,'設定 Settings'!$A$5,'員工更表輸入'!$B$5:$B$39,G$60),Lists!$C$3&gt;=SUMIFS('員工更表輸入'!$D$5:$D$39,'員工更表輸入'!$A$5:$A$39,'設定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Settings'!$A$5,'員工更表輸入'!$B$5:$B$39,G$60)&gt;0,Lists!$C$3&gt;=SUMIFS('員工更表輸入'!$E$5:$E$39,'員工更表輸入'!$A$5:$A$39,'設定 Settings'!$A$5,'員工更表輸入'!$B$5:$B$39,G$60),Lists!$C$3&lt;SUMIFS('員工更表輸入'!$F$5:$F$39,'員工更表輸入'!$A$5:$A$39,'設定 Settings'!$A$5,'員工更表輸入'!$B$5:$B$39,G$60)),"Break","Work"))</f>
        <v/>
      </c>
      <c r="H62" s="24">
        <f>IF(OR(SUMIFS('員工更表輸入'!$D$5:$D$39,'員工更表輸入'!$A$5:$A$39,'設定 Settings'!$A$5,'員工更表輸入'!$B$5:$B$39,H$60)&lt;=0,Lists!$C$3&lt;SUMIFS('員工更表輸入'!$C$5:$C$39,'員工更表輸入'!$A$5:$A$39,'設定 Settings'!$A$5,'員工更表輸入'!$B$5:$B$39,H$60),Lists!$C$3&gt;=SUMIFS('員工更表輸入'!$D$5:$D$39,'員工更表輸入'!$A$5:$A$39,'設定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Settings'!$A$5,'員工更表輸入'!$B$5:$B$39,H$60)&gt;0,Lists!$C$3&gt;=SUMIFS('員工更表輸入'!$E$5:$E$39,'員工更表輸入'!$A$5:$A$39,'設定 Settings'!$A$5,'員工更表輸入'!$B$5:$B$39,H$60),Lists!$C$3&lt;SUMIFS('員工更表輸入'!$F$5:$F$39,'員工更表輸入'!$A$5:$A$39,'設定 Settings'!$A$5,'員工更表輸入'!$B$5:$B$39,H$60)),"Break","Work"))</f>
        <v/>
      </c>
    </row>
    <row r="63">
      <c r="A63" s="22" t="inlineStr">
        <is>
          <t>10:45am-11:15am</t>
        </is>
      </c>
      <c r="B63" s="24">
        <f>IF(OR(SUMIFS('員工更表輸入'!$D$5:$D$39,'員工更表輸入'!$A$5:$A$39,'設定 Settings'!$A$5,'員工更表輸入'!$B$5:$B$39,B$60)&lt;=0,Lists!$C$4&lt;SUMIFS('員工更表輸入'!$C$5:$C$39,'員工更表輸入'!$A$5:$A$39,'設定 Settings'!$A$5,'員工更表輸入'!$B$5:$B$39,B$60),Lists!$C$4&gt;=SUMIFS('員工更表輸入'!$D$5:$D$39,'員工更表輸入'!$A$5:$A$39,'設定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Settings'!$A$5,'員工更表輸入'!$B$5:$B$39,B$60)&gt;0,Lists!$C$4&gt;=SUMIFS('員工更表輸入'!$E$5:$E$39,'員工更表輸入'!$A$5:$A$39,'設定 Settings'!$A$5,'員工更表輸入'!$B$5:$B$39,B$60),Lists!$C$4&lt;SUMIFS('員工更表輸入'!$F$5:$F$39,'員工更表輸入'!$A$5:$A$39,'設定 Settings'!$A$5,'員工更表輸入'!$B$5:$B$39,B$60)),"Break","Work"))</f>
        <v/>
      </c>
      <c r="C63" s="24">
        <f>IF(OR(SUMIFS('員工更表輸入'!$D$5:$D$39,'員工更表輸入'!$A$5:$A$39,'設定 Settings'!$A$5,'員工更表輸入'!$B$5:$B$39,C$60)&lt;=0,Lists!$C$4&lt;SUMIFS('員工更表輸入'!$C$5:$C$39,'員工更表輸入'!$A$5:$A$39,'設定 Settings'!$A$5,'員工更表輸入'!$B$5:$B$39,C$60),Lists!$C$4&gt;=SUMIFS('員工更表輸入'!$D$5:$D$39,'員工更表輸入'!$A$5:$A$39,'設定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Settings'!$A$5,'員工更表輸入'!$B$5:$B$39,C$60)&gt;0,Lists!$C$4&gt;=SUMIFS('員工更表輸入'!$E$5:$E$39,'員工更表輸入'!$A$5:$A$39,'設定 Settings'!$A$5,'員工更表輸入'!$B$5:$B$39,C$60),Lists!$C$4&lt;SUMIFS('員工更表輸入'!$F$5:$F$39,'員工更表輸入'!$A$5:$A$39,'設定 Settings'!$A$5,'員工更表輸入'!$B$5:$B$39,C$60)),"Break","Work"))</f>
        <v/>
      </c>
      <c r="D63" s="24">
        <f>IF(OR(SUMIFS('員工更表輸入'!$D$5:$D$39,'員工更表輸入'!$A$5:$A$39,'設定 Settings'!$A$5,'員工更表輸入'!$B$5:$B$39,D$60)&lt;=0,Lists!$C$4&lt;SUMIFS('員工更表輸入'!$C$5:$C$39,'員工更表輸入'!$A$5:$A$39,'設定 Settings'!$A$5,'員工更表輸入'!$B$5:$B$39,D$60),Lists!$C$4&gt;=SUMIFS('員工更表輸入'!$D$5:$D$39,'員工更表輸入'!$A$5:$A$39,'設定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Settings'!$A$5,'員工更表輸入'!$B$5:$B$39,D$60)&gt;0,Lists!$C$4&gt;=SUMIFS('員工更表輸入'!$E$5:$E$39,'員工更表輸入'!$A$5:$A$39,'設定 Settings'!$A$5,'員工更表輸入'!$B$5:$B$39,D$60),Lists!$C$4&lt;SUMIFS('員工更表輸入'!$F$5:$F$39,'員工更表輸入'!$A$5:$A$39,'設定 Settings'!$A$5,'員工更表輸入'!$B$5:$B$39,D$60)),"Break","Work"))</f>
        <v/>
      </c>
      <c r="E63" s="24">
        <f>IF(OR(SUMIFS('員工更表輸入'!$D$5:$D$39,'員工更表輸入'!$A$5:$A$39,'設定 Settings'!$A$5,'員工更表輸入'!$B$5:$B$39,E$60)&lt;=0,Lists!$C$4&lt;SUMIFS('員工更表輸入'!$C$5:$C$39,'員工更表輸入'!$A$5:$A$39,'設定 Settings'!$A$5,'員工更表輸入'!$B$5:$B$39,E$60),Lists!$C$4&gt;=SUMIFS('員工更表輸入'!$D$5:$D$39,'員工更表輸入'!$A$5:$A$39,'設定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Settings'!$A$5,'員工更表輸入'!$B$5:$B$39,E$60)&gt;0,Lists!$C$4&gt;=SUMIFS('員工更表輸入'!$E$5:$E$39,'員工更表輸入'!$A$5:$A$39,'設定 Settings'!$A$5,'員工更表輸入'!$B$5:$B$39,E$60),Lists!$C$4&lt;SUMIFS('員工更表輸入'!$F$5:$F$39,'員工更表輸入'!$A$5:$A$39,'設定 Settings'!$A$5,'員工更表輸入'!$B$5:$B$39,E$60)),"Break","Work"))</f>
        <v/>
      </c>
      <c r="F63" s="24">
        <f>IF(OR(SUMIFS('員工更表輸入'!$D$5:$D$39,'員工更表輸入'!$A$5:$A$39,'設定 Settings'!$A$5,'員工更表輸入'!$B$5:$B$39,F$60)&lt;=0,Lists!$C$4&lt;SUMIFS('員工更表輸入'!$C$5:$C$39,'員工更表輸入'!$A$5:$A$39,'設定 Settings'!$A$5,'員工更表輸入'!$B$5:$B$39,F$60),Lists!$C$4&gt;=SUMIFS('員工更表輸入'!$D$5:$D$39,'員工更表輸入'!$A$5:$A$39,'設定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Settings'!$A$5,'員工更表輸入'!$B$5:$B$39,F$60)&gt;0,Lists!$C$4&gt;=SUMIFS('員工更表輸入'!$E$5:$E$39,'員工更表輸入'!$A$5:$A$39,'設定 Settings'!$A$5,'員工更表輸入'!$B$5:$B$39,F$60),Lists!$C$4&lt;SUMIFS('員工更表輸入'!$F$5:$F$39,'員工更表輸入'!$A$5:$A$39,'設定 Settings'!$A$5,'員工更表輸入'!$B$5:$B$39,F$60)),"Break","Work"))</f>
        <v/>
      </c>
      <c r="G63" s="24">
        <f>IF(OR(SUMIFS('員工更表輸入'!$D$5:$D$39,'員工更表輸入'!$A$5:$A$39,'設定 Settings'!$A$5,'員工更表輸入'!$B$5:$B$39,G$60)&lt;=0,Lists!$C$4&lt;SUMIFS('員工更表輸入'!$C$5:$C$39,'員工更表輸入'!$A$5:$A$39,'設定 Settings'!$A$5,'員工更表輸入'!$B$5:$B$39,G$60),Lists!$C$4&gt;=SUMIFS('員工更表輸入'!$D$5:$D$39,'員工更表輸入'!$A$5:$A$39,'設定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Settings'!$A$5,'員工更表輸入'!$B$5:$B$39,G$60)&gt;0,Lists!$C$4&gt;=SUMIFS('員工更表輸入'!$E$5:$E$39,'員工更表輸入'!$A$5:$A$39,'設定 Settings'!$A$5,'員工更表輸入'!$B$5:$B$39,G$60),Lists!$C$4&lt;SUMIFS('員工更表輸入'!$F$5:$F$39,'員工更表輸入'!$A$5:$A$39,'設定 Settings'!$A$5,'員工更表輸入'!$B$5:$B$39,G$60)),"Break","Work"))</f>
        <v/>
      </c>
      <c r="H63" s="24">
        <f>IF(OR(SUMIFS('員工更表輸入'!$D$5:$D$39,'員工更表輸入'!$A$5:$A$39,'設定 Settings'!$A$5,'員工更表輸入'!$B$5:$B$39,H$60)&lt;=0,Lists!$C$4&lt;SUMIFS('員工更表輸入'!$C$5:$C$39,'員工更表輸入'!$A$5:$A$39,'設定 Settings'!$A$5,'員工更表輸入'!$B$5:$B$39,H$60),Lists!$C$4&gt;=SUMIFS('員工更表輸入'!$D$5:$D$39,'員工更表輸入'!$A$5:$A$39,'設定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Settings'!$A$5,'員工更表輸入'!$B$5:$B$39,H$60)&gt;0,Lists!$C$4&gt;=SUMIFS('員工更表輸入'!$E$5:$E$39,'員工更表輸入'!$A$5:$A$39,'設定 Settings'!$A$5,'員工更表輸入'!$B$5:$B$39,H$60),Lists!$C$4&lt;SUMIFS('員工更表輸入'!$F$5:$F$39,'員工更表輸入'!$A$5:$A$39,'設定 Settings'!$A$5,'員工更表輸入'!$B$5:$B$39,H$60)),"Break","Work"))</f>
        <v/>
      </c>
    </row>
    <row r="64">
      <c r="A64" s="22" t="inlineStr">
        <is>
          <t>11:15am-11:45am</t>
        </is>
      </c>
      <c r="B64" s="24">
        <f>IF(OR(SUMIFS('員工更表輸入'!$D$5:$D$39,'員工更表輸入'!$A$5:$A$39,'設定 Settings'!$A$5,'員工更表輸入'!$B$5:$B$39,B$60)&lt;=0,Lists!$C$5&lt;SUMIFS('員工更表輸入'!$C$5:$C$39,'員工更表輸入'!$A$5:$A$39,'設定 Settings'!$A$5,'員工更表輸入'!$B$5:$B$39,B$60),Lists!$C$5&gt;=SUMIFS('員工更表輸入'!$D$5:$D$39,'員工更表輸入'!$A$5:$A$39,'設定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Settings'!$A$5,'員工更表輸入'!$B$5:$B$39,B$60)&gt;0,Lists!$C$5&gt;=SUMIFS('員工更表輸入'!$E$5:$E$39,'員工更表輸入'!$A$5:$A$39,'設定 Settings'!$A$5,'員工更表輸入'!$B$5:$B$39,B$60),Lists!$C$5&lt;SUMIFS('員工更表輸入'!$F$5:$F$39,'員工更表輸入'!$A$5:$A$39,'設定 Settings'!$A$5,'員工更表輸入'!$B$5:$B$39,B$60)),"Break","Work"))</f>
        <v/>
      </c>
      <c r="C64" s="24">
        <f>IF(OR(SUMIFS('員工更表輸入'!$D$5:$D$39,'員工更表輸入'!$A$5:$A$39,'設定 Settings'!$A$5,'員工更表輸入'!$B$5:$B$39,C$60)&lt;=0,Lists!$C$5&lt;SUMIFS('員工更表輸入'!$C$5:$C$39,'員工更表輸入'!$A$5:$A$39,'設定 Settings'!$A$5,'員工更表輸入'!$B$5:$B$39,C$60),Lists!$C$5&gt;=SUMIFS('員工更表輸入'!$D$5:$D$39,'員工更表輸入'!$A$5:$A$39,'設定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Settings'!$A$5,'員工更表輸入'!$B$5:$B$39,C$60)&gt;0,Lists!$C$5&gt;=SUMIFS('員工更表輸入'!$E$5:$E$39,'員工更表輸入'!$A$5:$A$39,'設定 Settings'!$A$5,'員工更表輸入'!$B$5:$B$39,C$60),Lists!$C$5&lt;SUMIFS('員工更表輸入'!$F$5:$F$39,'員工更表輸入'!$A$5:$A$39,'設定 Settings'!$A$5,'員工更表輸入'!$B$5:$B$39,C$60)),"Break","Work"))</f>
        <v/>
      </c>
      <c r="D64" s="24">
        <f>IF(OR(SUMIFS('員工更表輸入'!$D$5:$D$39,'員工更表輸入'!$A$5:$A$39,'設定 Settings'!$A$5,'員工更表輸入'!$B$5:$B$39,D$60)&lt;=0,Lists!$C$5&lt;SUMIFS('員工更表輸入'!$C$5:$C$39,'員工更表輸入'!$A$5:$A$39,'設定 Settings'!$A$5,'員工更表輸入'!$B$5:$B$39,D$60),Lists!$C$5&gt;=SUMIFS('員工更表輸入'!$D$5:$D$39,'員工更表輸入'!$A$5:$A$39,'設定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Settings'!$A$5,'員工更表輸入'!$B$5:$B$39,D$60)&gt;0,Lists!$C$5&gt;=SUMIFS('員工更表輸入'!$E$5:$E$39,'員工更表輸入'!$A$5:$A$39,'設定 Settings'!$A$5,'員工更表輸入'!$B$5:$B$39,D$60),Lists!$C$5&lt;SUMIFS('員工更表輸入'!$F$5:$F$39,'員工更表輸入'!$A$5:$A$39,'設定 Settings'!$A$5,'員工更表輸入'!$B$5:$B$39,D$60)),"Break","Work"))</f>
        <v/>
      </c>
      <c r="E64" s="24">
        <f>IF(OR(SUMIFS('員工更表輸入'!$D$5:$D$39,'員工更表輸入'!$A$5:$A$39,'設定 Settings'!$A$5,'員工更表輸入'!$B$5:$B$39,E$60)&lt;=0,Lists!$C$5&lt;SUMIFS('員工更表輸入'!$C$5:$C$39,'員工更表輸入'!$A$5:$A$39,'設定 Settings'!$A$5,'員工更表輸入'!$B$5:$B$39,E$60),Lists!$C$5&gt;=SUMIFS('員工更表輸入'!$D$5:$D$39,'員工更表輸入'!$A$5:$A$39,'設定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Settings'!$A$5,'員工更表輸入'!$B$5:$B$39,E$60)&gt;0,Lists!$C$5&gt;=SUMIFS('員工更表輸入'!$E$5:$E$39,'員工更表輸入'!$A$5:$A$39,'設定 Settings'!$A$5,'員工更表輸入'!$B$5:$B$39,E$60),Lists!$C$5&lt;SUMIFS('員工更表輸入'!$F$5:$F$39,'員工更表輸入'!$A$5:$A$39,'設定 Settings'!$A$5,'員工更表輸入'!$B$5:$B$39,E$60)),"Break","Work"))</f>
        <v/>
      </c>
      <c r="F64" s="24">
        <f>IF(OR(SUMIFS('員工更表輸入'!$D$5:$D$39,'員工更表輸入'!$A$5:$A$39,'設定 Settings'!$A$5,'員工更表輸入'!$B$5:$B$39,F$60)&lt;=0,Lists!$C$5&lt;SUMIFS('員工更表輸入'!$C$5:$C$39,'員工更表輸入'!$A$5:$A$39,'設定 Settings'!$A$5,'員工更表輸入'!$B$5:$B$39,F$60),Lists!$C$5&gt;=SUMIFS('員工更表輸入'!$D$5:$D$39,'員工更表輸入'!$A$5:$A$39,'設定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Settings'!$A$5,'員工更表輸入'!$B$5:$B$39,F$60)&gt;0,Lists!$C$5&gt;=SUMIFS('員工更表輸入'!$E$5:$E$39,'員工更表輸入'!$A$5:$A$39,'設定 Settings'!$A$5,'員工更表輸入'!$B$5:$B$39,F$60),Lists!$C$5&lt;SUMIFS('員工更表輸入'!$F$5:$F$39,'員工更表輸入'!$A$5:$A$39,'設定 Settings'!$A$5,'員工更表輸入'!$B$5:$B$39,F$60)),"Break","Work"))</f>
        <v/>
      </c>
      <c r="G64" s="24">
        <f>IF(OR(SUMIFS('員工更表輸入'!$D$5:$D$39,'員工更表輸入'!$A$5:$A$39,'設定 Settings'!$A$5,'員工更表輸入'!$B$5:$B$39,G$60)&lt;=0,Lists!$C$5&lt;SUMIFS('員工更表輸入'!$C$5:$C$39,'員工更表輸入'!$A$5:$A$39,'設定 Settings'!$A$5,'員工更表輸入'!$B$5:$B$39,G$60),Lists!$C$5&gt;=SUMIFS('員工更表輸入'!$D$5:$D$39,'員工更表輸入'!$A$5:$A$39,'設定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Settings'!$A$5,'員工更表輸入'!$B$5:$B$39,G$60)&gt;0,Lists!$C$5&gt;=SUMIFS('員工更表輸入'!$E$5:$E$39,'員工更表輸入'!$A$5:$A$39,'設定 Settings'!$A$5,'員工更表輸入'!$B$5:$B$39,G$60),Lists!$C$5&lt;SUMIFS('員工更表輸入'!$F$5:$F$39,'員工更表輸入'!$A$5:$A$39,'設定 Settings'!$A$5,'員工更表輸入'!$B$5:$B$39,G$60)),"Break","Work"))</f>
        <v/>
      </c>
      <c r="H64" s="24">
        <f>IF(OR(SUMIFS('員工更表輸入'!$D$5:$D$39,'員工更表輸入'!$A$5:$A$39,'設定 Settings'!$A$5,'員工更表輸入'!$B$5:$B$39,H$60)&lt;=0,Lists!$C$5&lt;SUMIFS('員工更表輸入'!$C$5:$C$39,'員工更表輸入'!$A$5:$A$39,'設定 Settings'!$A$5,'員工更表輸入'!$B$5:$B$39,H$60),Lists!$C$5&gt;=SUMIFS('員工更表輸入'!$D$5:$D$39,'員工更表輸入'!$A$5:$A$39,'設定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Settings'!$A$5,'員工更表輸入'!$B$5:$B$39,H$60)&gt;0,Lists!$C$5&gt;=SUMIFS('員工更表輸入'!$E$5:$E$39,'員工更表輸入'!$A$5:$A$39,'設定 Settings'!$A$5,'員工更表輸入'!$B$5:$B$39,H$60),Lists!$C$5&lt;SUMIFS('員工更表輸入'!$F$5:$F$39,'員工更表輸入'!$A$5:$A$39,'設定 Settings'!$A$5,'員工更表輸入'!$B$5:$B$39,H$60)),"Break","Work"))</f>
        <v/>
      </c>
    </row>
    <row r="65">
      <c r="A65" s="22" t="inlineStr">
        <is>
          <t>11:45am-12:15pm</t>
        </is>
      </c>
      <c r="B65" s="24">
        <f>IF(OR(SUMIFS('員工更表輸入'!$D$5:$D$39,'員工更表輸入'!$A$5:$A$39,'設定 Settings'!$A$5,'員工更表輸入'!$B$5:$B$39,B$60)&lt;=0,Lists!$C$6&lt;SUMIFS('員工更表輸入'!$C$5:$C$39,'員工更表輸入'!$A$5:$A$39,'設定 Settings'!$A$5,'員工更表輸入'!$B$5:$B$39,B$60),Lists!$C$6&gt;=SUMIFS('員工更表輸入'!$D$5:$D$39,'員工更表輸入'!$A$5:$A$39,'設定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Settings'!$A$5,'員工更表輸入'!$B$5:$B$39,B$60)&gt;0,Lists!$C$6&gt;=SUMIFS('員工更表輸入'!$E$5:$E$39,'員工更表輸入'!$A$5:$A$39,'設定 Settings'!$A$5,'員工更表輸入'!$B$5:$B$39,B$60),Lists!$C$6&lt;SUMIFS('員工更表輸入'!$F$5:$F$39,'員工更表輸入'!$A$5:$A$39,'設定 Settings'!$A$5,'員工更表輸入'!$B$5:$B$39,B$60)),"Break","Work"))</f>
        <v/>
      </c>
      <c r="C65" s="24">
        <f>IF(OR(SUMIFS('員工更表輸入'!$D$5:$D$39,'員工更表輸入'!$A$5:$A$39,'設定 Settings'!$A$5,'員工更表輸入'!$B$5:$B$39,C$60)&lt;=0,Lists!$C$6&lt;SUMIFS('員工更表輸入'!$C$5:$C$39,'員工更表輸入'!$A$5:$A$39,'設定 Settings'!$A$5,'員工更表輸入'!$B$5:$B$39,C$60),Lists!$C$6&gt;=SUMIFS('員工更表輸入'!$D$5:$D$39,'員工更表輸入'!$A$5:$A$39,'設定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Settings'!$A$5,'員工更表輸入'!$B$5:$B$39,C$60)&gt;0,Lists!$C$6&gt;=SUMIFS('員工更表輸入'!$E$5:$E$39,'員工更表輸入'!$A$5:$A$39,'設定 Settings'!$A$5,'員工更表輸入'!$B$5:$B$39,C$60),Lists!$C$6&lt;SUMIFS('員工更表輸入'!$F$5:$F$39,'員工更表輸入'!$A$5:$A$39,'設定 Settings'!$A$5,'員工更表輸入'!$B$5:$B$39,C$60)),"Break","Work"))</f>
        <v/>
      </c>
      <c r="D65" s="24">
        <f>IF(OR(SUMIFS('員工更表輸入'!$D$5:$D$39,'員工更表輸入'!$A$5:$A$39,'設定 Settings'!$A$5,'員工更表輸入'!$B$5:$B$39,D$60)&lt;=0,Lists!$C$6&lt;SUMIFS('員工更表輸入'!$C$5:$C$39,'員工更表輸入'!$A$5:$A$39,'設定 Settings'!$A$5,'員工更表輸入'!$B$5:$B$39,D$60),Lists!$C$6&gt;=SUMIFS('員工更表輸入'!$D$5:$D$39,'員工更表輸入'!$A$5:$A$39,'設定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Settings'!$A$5,'員工更表輸入'!$B$5:$B$39,D$60)&gt;0,Lists!$C$6&gt;=SUMIFS('員工更表輸入'!$E$5:$E$39,'員工更表輸入'!$A$5:$A$39,'設定 Settings'!$A$5,'員工更表輸入'!$B$5:$B$39,D$60),Lists!$C$6&lt;SUMIFS('員工更表輸入'!$F$5:$F$39,'員工更表輸入'!$A$5:$A$39,'設定 Settings'!$A$5,'員工更表輸入'!$B$5:$B$39,D$60)),"Break","Work"))</f>
        <v/>
      </c>
      <c r="E65" s="24">
        <f>IF(OR(SUMIFS('員工更表輸入'!$D$5:$D$39,'員工更表輸入'!$A$5:$A$39,'設定 Settings'!$A$5,'員工更表輸入'!$B$5:$B$39,E$60)&lt;=0,Lists!$C$6&lt;SUMIFS('員工更表輸入'!$C$5:$C$39,'員工更表輸入'!$A$5:$A$39,'設定 Settings'!$A$5,'員工更表輸入'!$B$5:$B$39,E$60),Lists!$C$6&gt;=SUMIFS('員工更表輸入'!$D$5:$D$39,'員工更表輸入'!$A$5:$A$39,'設定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Settings'!$A$5,'員工更表輸入'!$B$5:$B$39,E$60)&gt;0,Lists!$C$6&gt;=SUMIFS('員工更表輸入'!$E$5:$E$39,'員工更表輸入'!$A$5:$A$39,'設定 Settings'!$A$5,'員工更表輸入'!$B$5:$B$39,E$60),Lists!$C$6&lt;SUMIFS('員工更表輸入'!$F$5:$F$39,'員工更表輸入'!$A$5:$A$39,'設定 Settings'!$A$5,'員工更表輸入'!$B$5:$B$39,E$60)),"Break","Work"))</f>
        <v/>
      </c>
      <c r="F65" s="24">
        <f>IF(OR(SUMIFS('員工更表輸入'!$D$5:$D$39,'員工更表輸入'!$A$5:$A$39,'設定 Settings'!$A$5,'員工更表輸入'!$B$5:$B$39,F$60)&lt;=0,Lists!$C$6&lt;SUMIFS('員工更表輸入'!$C$5:$C$39,'員工更表輸入'!$A$5:$A$39,'設定 Settings'!$A$5,'員工更表輸入'!$B$5:$B$39,F$60),Lists!$C$6&gt;=SUMIFS('員工更表輸入'!$D$5:$D$39,'員工更表輸入'!$A$5:$A$39,'設定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Settings'!$A$5,'員工更表輸入'!$B$5:$B$39,F$60)&gt;0,Lists!$C$6&gt;=SUMIFS('員工更表輸入'!$E$5:$E$39,'員工更表輸入'!$A$5:$A$39,'設定 Settings'!$A$5,'員工更表輸入'!$B$5:$B$39,F$60),Lists!$C$6&lt;SUMIFS('員工更表輸入'!$F$5:$F$39,'員工更表輸入'!$A$5:$A$39,'設定 Settings'!$A$5,'員工更表輸入'!$B$5:$B$39,F$60)),"Break","Work"))</f>
        <v/>
      </c>
      <c r="G65" s="24">
        <f>IF(OR(SUMIFS('員工更表輸入'!$D$5:$D$39,'員工更表輸入'!$A$5:$A$39,'設定 Settings'!$A$5,'員工更表輸入'!$B$5:$B$39,G$60)&lt;=0,Lists!$C$6&lt;SUMIFS('員工更表輸入'!$C$5:$C$39,'員工更表輸入'!$A$5:$A$39,'設定 Settings'!$A$5,'員工更表輸入'!$B$5:$B$39,G$60),Lists!$C$6&gt;=SUMIFS('員工更表輸入'!$D$5:$D$39,'員工更表輸入'!$A$5:$A$39,'設定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Settings'!$A$5,'員工更表輸入'!$B$5:$B$39,G$60)&gt;0,Lists!$C$6&gt;=SUMIFS('員工更表輸入'!$E$5:$E$39,'員工更表輸入'!$A$5:$A$39,'設定 Settings'!$A$5,'員工更表輸入'!$B$5:$B$39,G$60),Lists!$C$6&lt;SUMIFS('員工更表輸入'!$F$5:$F$39,'員工更表輸入'!$A$5:$A$39,'設定 Settings'!$A$5,'員工更表輸入'!$B$5:$B$39,G$60)),"Break","Work"))</f>
        <v/>
      </c>
      <c r="H65" s="24">
        <f>IF(OR(SUMIFS('員工更表輸入'!$D$5:$D$39,'員工更表輸入'!$A$5:$A$39,'設定 Settings'!$A$5,'員工更表輸入'!$B$5:$B$39,H$60)&lt;=0,Lists!$C$6&lt;SUMIFS('員工更表輸入'!$C$5:$C$39,'員工更表輸入'!$A$5:$A$39,'設定 Settings'!$A$5,'員工更表輸入'!$B$5:$B$39,H$60),Lists!$C$6&gt;=SUMIFS('員工更表輸入'!$D$5:$D$39,'員工更表輸入'!$A$5:$A$39,'設定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Settings'!$A$5,'員工更表輸入'!$B$5:$B$39,H$60)&gt;0,Lists!$C$6&gt;=SUMIFS('員工更表輸入'!$E$5:$E$39,'員工更表輸入'!$A$5:$A$39,'設定 Settings'!$A$5,'員工更表輸入'!$B$5:$B$39,H$60),Lists!$C$6&lt;SUMIFS('員工更表輸入'!$F$5:$F$39,'員工更表輸入'!$A$5:$A$39,'設定 Settings'!$A$5,'員工更表輸入'!$B$5:$B$39,H$60)),"Break","Work"))</f>
        <v/>
      </c>
    </row>
    <row r="66">
      <c r="A66" s="22" t="inlineStr">
        <is>
          <t>12:15pm-12:45pm</t>
        </is>
      </c>
      <c r="B66" s="24">
        <f>IF(OR(SUMIFS('員工更表輸入'!$D$5:$D$39,'員工更表輸入'!$A$5:$A$39,'設定 Settings'!$A$5,'員工更表輸入'!$B$5:$B$39,B$60)&lt;=0,Lists!$C$7&lt;SUMIFS('員工更表輸入'!$C$5:$C$39,'員工更表輸入'!$A$5:$A$39,'設定 Settings'!$A$5,'員工更表輸入'!$B$5:$B$39,B$60),Lists!$C$7&gt;=SUMIFS('員工更表輸入'!$D$5:$D$39,'員工更表輸入'!$A$5:$A$39,'設定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Settings'!$A$5,'員工更表輸入'!$B$5:$B$39,B$60)&gt;0,Lists!$C$7&gt;=SUMIFS('員工更表輸入'!$E$5:$E$39,'員工更表輸入'!$A$5:$A$39,'設定 Settings'!$A$5,'員工更表輸入'!$B$5:$B$39,B$60),Lists!$C$7&lt;SUMIFS('員工更表輸入'!$F$5:$F$39,'員工更表輸入'!$A$5:$A$39,'設定 Settings'!$A$5,'員工更表輸入'!$B$5:$B$39,B$60)),"Break","Work"))</f>
        <v/>
      </c>
      <c r="C66" s="24">
        <f>IF(OR(SUMIFS('員工更表輸入'!$D$5:$D$39,'員工更表輸入'!$A$5:$A$39,'設定 Settings'!$A$5,'員工更表輸入'!$B$5:$B$39,C$60)&lt;=0,Lists!$C$7&lt;SUMIFS('員工更表輸入'!$C$5:$C$39,'員工更表輸入'!$A$5:$A$39,'設定 Settings'!$A$5,'員工更表輸入'!$B$5:$B$39,C$60),Lists!$C$7&gt;=SUMIFS('員工更表輸入'!$D$5:$D$39,'員工更表輸入'!$A$5:$A$39,'設定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Settings'!$A$5,'員工更表輸入'!$B$5:$B$39,C$60)&gt;0,Lists!$C$7&gt;=SUMIFS('員工更表輸入'!$E$5:$E$39,'員工更表輸入'!$A$5:$A$39,'設定 Settings'!$A$5,'員工更表輸入'!$B$5:$B$39,C$60),Lists!$C$7&lt;SUMIFS('員工更表輸入'!$F$5:$F$39,'員工更表輸入'!$A$5:$A$39,'設定 Settings'!$A$5,'員工更表輸入'!$B$5:$B$39,C$60)),"Break","Work"))</f>
        <v/>
      </c>
      <c r="D66" s="24">
        <f>IF(OR(SUMIFS('員工更表輸入'!$D$5:$D$39,'員工更表輸入'!$A$5:$A$39,'設定 Settings'!$A$5,'員工更表輸入'!$B$5:$B$39,D$60)&lt;=0,Lists!$C$7&lt;SUMIFS('員工更表輸入'!$C$5:$C$39,'員工更表輸入'!$A$5:$A$39,'設定 Settings'!$A$5,'員工更表輸入'!$B$5:$B$39,D$60),Lists!$C$7&gt;=SUMIFS('員工更表輸入'!$D$5:$D$39,'員工更表輸入'!$A$5:$A$39,'設定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Settings'!$A$5,'員工更表輸入'!$B$5:$B$39,D$60)&gt;0,Lists!$C$7&gt;=SUMIFS('員工更表輸入'!$E$5:$E$39,'員工更表輸入'!$A$5:$A$39,'設定 Settings'!$A$5,'員工更表輸入'!$B$5:$B$39,D$60),Lists!$C$7&lt;SUMIFS('員工更表輸入'!$F$5:$F$39,'員工更表輸入'!$A$5:$A$39,'設定 Settings'!$A$5,'員工更表輸入'!$B$5:$B$39,D$60)),"Break","Work"))</f>
        <v/>
      </c>
      <c r="E66" s="24">
        <f>IF(OR(SUMIFS('員工更表輸入'!$D$5:$D$39,'員工更表輸入'!$A$5:$A$39,'設定 Settings'!$A$5,'員工更表輸入'!$B$5:$B$39,E$60)&lt;=0,Lists!$C$7&lt;SUMIFS('員工更表輸入'!$C$5:$C$39,'員工更表輸入'!$A$5:$A$39,'設定 Settings'!$A$5,'員工更表輸入'!$B$5:$B$39,E$60),Lists!$C$7&gt;=SUMIFS('員工更表輸入'!$D$5:$D$39,'員工更表輸入'!$A$5:$A$39,'設定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Settings'!$A$5,'員工更表輸入'!$B$5:$B$39,E$60)&gt;0,Lists!$C$7&gt;=SUMIFS('員工更表輸入'!$E$5:$E$39,'員工更表輸入'!$A$5:$A$39,'設定 Settings'!$A$5,'員工更表輸入'!$B$5:$B$39,E$60),Lists!$C$7&lt;SUMIFS('員工更表輸入'!$F$5:$F$39,'員工更表輸入'!$A$5:$A$39,'設定 Settings'!$A$5,'員工更表輸入'!$B$5:$B$39,E$60)),"Break","Work"))</f>
        <v/>
      </c>
      <c r="F66" s="24">
        <f>IF(OR(SUMIFS('員工更表輸入'!$D$5:$D$39,'員工更表輸入'!$A$5:$A$39,'設定 Settings'!$A$5,'員工更表輸入'!$B$5:$B$39,F$60)&lt;=0,Lists!$C$7&lt;SUMIFS('員工更表輸入'!$C$5:$C$39,'員工更表輸入'!$A$5:$A$39,'設定 Settings'!$A$5,'員工更表輸入'!$B$5:$B$39,F$60),Lists!$C$7&gt;=SUMIFS('員工更表輸入'!$D$5:$D$39,'員工更表輸入'!$A$5:$A$39,'設定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Settings'!$A$5,'員工更表輸入'!$B$5:$B$39,F$60)&gt;0,Lists!$C$7&gt;=SUMIFS('員工更表輸入'!$E$5:$E$39,'員工更表輸入'!$A$5:$A$39,'設定 Settings'!$A$5,'員工更表輸入'!$B$5:$B$39,F$60),Lists!$C$7&lt;SUMIFS('員工更表輸入'!$F$5:$F$39,'員工更表輸入'!$A$5:$A$39,'設定 Settings'!$A$5,'員工更表輸入'!$B$5:$B$39,F$60)),"Break","Work"))</f>
        <v/>
      </c>
      <c r="G66" s="24">
        <f>IF(OR(SUMIFS('員工更表輸入'!$D$5:$D$39,'員工更表輸入'!$A$5:$A$39,'設定 Settings'!$A$5,'員工更表輸入'!$B$5:$B$39,G$60)&lt;=0,Lists!$C$7&lt;SUMIFS('員工更表輸入'!$C$5:$C$39,'員工更表輸入'!$A$5:$A$39,'設定 Settings'!$A$5,'員工更表輸入'!$B$5:$B$39,G$60),Lists!$C$7&gt;=SUMIFS('員工更表輸入'!$D$5:$D$39,'員工更表輸入'!$A$5:$A$39,'設定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Settings'!$A$5,'員工更表輸入'!$B$5:$B$39,G$60)&gt;0,Lists!$C$7&gt;=SUMIFS('員工更表輸入'!$E$5:$E$39,'員工更表輸入'!$A$5:$A$39,'設定 Settings'!$A$5,'員工更表輸入'!$B$5:$B$39,G$60),Lists!$C$7&lt;SUMIFS('員工更表輸入'!$F$5:$F$39,'員工更表輸入'!$A$5:$A$39,'設定 Settings'!$A$5,'員工更表輸入'!$B$5:$B$39,G$60)),"Break","Work"))</f>
        <v/>
      </c>
      <c r="H66" s="24">
        <f>IF(OR(SUMIFS('員工更表輸入'!$D$5:$D$39,'員工更表輸入'!$A$5:$A$39,'設定 Settings'!$A$5,'員工更表輸入'!$B$5:$B$39,H$60)&lt;=0,Lists!$C$7&lt;SUMIFS('員工更表輸入'!$C$5:$C$39,'員工更表輸入'!$A$5:$A$39,'設定 Settings'!$A$5,'員工更表輸入'!$B$5:$B$39,H$60),Lists!$C$7&gt;=SUMIFS('員工更表輸入'!$D$5:$D$39,'員工更表輸入'!$A$5:$A$39,'設定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Settings'!$A$5,'員工更表輸入'!$B$5:$B$39,H$60)&gt;0,Lists!$C$7&gt;=SUMIFS('員工更表輸入'!$E$5:$E$39,'員工更表輸入'!$A$5:$A$39,'設定 Settings'!$A$5,'員工更表輸入'!$B$5:$B$39,H$60),Lists!$C$7&lt;SUMIFS('員工更表輸入'!$F$5:$F$39,'員工更表輸入'!$A$5:$A$39,'設定 Settings'!$A$5,'員工更表輸入'!$B$5:$B$39,H$60)),"Break","Work"))</f>
        <v/>
      </c>
    </row>
    <row r="67">
      <c r="A67" s="22" t="inlineStr">
        <is>
          <t>12:45pm-1:15pm</t>
        </is>
      </c>
      <c r="B67" s="24">
        <f>IF(OR(SUMIFS('員工更表輸入'!$D$5:$D$39,'員工更表輸入'!$A$5:$A$39,'設定 Settings'!$A$5,'員工更表輸入'!$B$5:$B$39,B$60)&lt;=0,Lists!$C$8&lt;SUMIFS('員工更表輸入'!$C$5:$C$39,'員工更表輸入'!$A$5:$A$39,'設定 Settings'!$A$5,'員工更表輸入'!$B$5:$B$39,B$60),Lists!$C$8&gt;=SUMIFS('員工更表輸入'!$D$5:$D$39,'員工更表輸入'!$A$5:$A$39,'設定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Settings'!$A$5,'員工更表輸入'!$B$5:$B$39,B$60)&gt;0,Lists!$C$8&gt;=SUMIFS('員工更表輸入'!$E$5:$E$39,'員工更表輸入'!$A$5:$A$39,'設定 Settings'!$A$5,'員工更表輸入'!$B$5:$B$39,B$60),Lists!$C$8&lt;SUMIFS('員工更表輸入'!$F$5:$F$39,'員工更表輸入'!$A$5:$A$39,'設定 Settings'!$A$5,'員工更表輸入'!$B$5:$B$39,B$60)),"Break","Work"))</f>
        <v/>
      </c>
      <c r="C67" s="24">
        <f>IF(OR(SUMIFS('員工更表輸入'!$D$5:$D$39,'員工更表輸入'!$A$5:$A$39,'設定 Settings'!$A$5,'員工更表輸入'!$B$5:$B$39,C$60)&lt;=0,Lists!$C$8&lt;SUMIFS('員工更表輸入'!$C$5:$C$39,'員工更表輸入'!$A$5:$A$39,'設定 Settings'!$A$5,'員工更表輸入'!$B$5:$B$39,C$60),Lists!$C$8&gt;=SUMIFS('員工更表輸入'!$D$5:$D$39,'員工更表輸入'!$A$5:$A$39,'設定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Settings'!$A$5,'員工更表輸入'!$B$5:$B$39,C$60)&gt;0,Lists!$C$8&gt;=SUMIFS('員工更表輸入'!$E$5:$E$39,'員工更表輸入'!$A$5:$A$39,'設定 Settings'!$A$5,'員工更表輸入'!$B$5:$B$39,C$60),Lists!$C$8&lt;SUMIFS('員工更表輸入'!$F$5:$F$39,'員工更表輸入'!$A$5:$A$39,'設定 Settings'!$A$5,'員工更表輸入'!$B$5:$B$39,C$60)),"Break","Work"))</f>
        <v/>
      </c>
      <c r="D67" s="24">
        <f>IF(OR(SUMIFS('員工更表輸入'!$D$5:$D$39,'員工更表輸入'!$A$5:$A$39,'設定 Settings'!$A$5,'員工更表輸入'!$B$5:$B$39,D$60)&lt;=0,Lists!$C$8&lt;SUMIFS('員工更表輸入'!$C$5:$C$39,'員工更表輸入'!$A$5:$A$39,'設定 Settings'!$A$5,'員工更表輸入'!$B$5:$B$39,D$60),Lists!$C$8&gt;=SUMIFS('員工更表輸入'!$D$5:$D$39,'員工更表輸入'!$A$5:$A$39,'設定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Settings'!$A$5,'員工更表輸入'!$B$5:$B$39,D$60)&gt;0,Lists!$C$8&gt;=SUMIFS('員工更表輸入'!$E$5:$E$39,'員工更表輸入'!$A$5:$A$39,'設定 Settings'!$A$5,'員工更表輸入'!$B$5:$B$39,D$60),Lists!$C$8&lt;SUMIFS('員工更表輸入'!$F$5:$F$39,'員工更表輸入'!$A$5:$A$39,'設定 Settings'!$A$5,'員工更表輸入'!$B$5:$B$39,D$60)),"Break","Work"))</f>
        <v/>
      </c>
      <c r="E67" s="24">
        <f>IF(OR(SUMIFS('員工更表輸入'!$D$5:$D$39,'員工更表輸入'!$A$5:$A$39,'設定 Settings'!$A$5,'員工更表輸入'!$B$5:$B$39,E$60)&lt;=0,Lists!$C$8&lt;SUMIFS('員工更表輸入'!$C$5:$C$39,'員工更表輸入'!$A$5:$A$39,'設定 Settings'!$A$5,'員工更表輸入'!$B$5:$B$39,E$60),Lists!$C$8&gt;=SUMIFS('員工更表輸入'!$D$5:$D$39,'員工更表輸入'!$A$5:$A$39,'設定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Settings'!$A$5,'員工更表輸入'!$B$5:$B$39,E$60)&gt;0,Lists!$C$8&gt;=SUMIFS('員工更表輸入'!$E$5:$E$39,'員工更表輸入'!$A$5:$A$39,'設定 Settings'!$A$5,'員工更表輸入'!$B$5:$B$39,E$60),Lists!$C$8&lt;SUMIFS('員工更表輸入'!$F$5:$F$39,'員工更表輸入'!$A$5:$A$39,'設定 Settings'!$A$5,'員工更表輸入'!$B$5:$B$39,E$60)),"Break","Work"))</f>
        <v/>
      </c>
      <c r="F67" s="24">
        <f>IF(OR(SUMIFS('員工更表輸入'!$D$5:$D$39,'員工更表輸入'!$A$5:$A$39,'設定 Settings'!$A$5,'員工更表輸入'!$B$5:$B$39,F$60)&lt;=0,Lists!$C$8&lt;SUMIFS('員工更表輸入'!$C$5:$C$39,'員工更表輸入'!$A$5:$A$39,'設定 Settings'!$A$5,'員工更表輸入'!$B$5:$B$39,F$60),Lists!$C$8&gt;=SUMIFS('員工更表輸入'!$D$5:$D$39,'員工更表輸入'!$A$5:$A$39,'設定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Settings'!$A$5,'員工更表輸入'!$B$5:$B$39,F$60)&gt;0,Lists!$C$8&gt;=SUMIFS('員工更表輸入'!$E$5:$E$39,'員工更表輸入'!$A$5:$A$39,'設定 Settings'!$A$5,'員工更表輸入'!$B$5:$B$39,F$60),Lists!$C$8&lt;SUMIFS('員工更表輸入'!$F$5:$F$39,'員工更表輸入'!$A$5:$A$39,'設定 Settings'!$A$5,'員工更表輸入'!$B$5:$B$39,F$60)),"Break","Work"))</f>
        <v/>
      </c>
      <c r="G67" s="24">
        <f>IF(OR(SUMIFS('員工更表輸入'!$D$5:$D$39,'員工更表輸入'!$A$5:$A$39,'設定 Settings'!$A$5,'員工更表輸入'!$B$5:$B$39,G$60)&lt;=0,Lists!$C$8&lt;SUMIFS('員工更表輸入'!$C$5:$C$39,'員工更表輸入'!$A$5:$A$39,'設定 Settings'!$A$5,'員工更表輸入'!$B$5:$B$39,G$60),Lists!$C$8&gt;=SUMIFS('員工更表輸入'!$D$5:$D$39,'員工更表輸入'!$A$5:$A$39,'設定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Settings'!$A$5,'員工更表輸入'!$B$5:$B$39,G$60)&gt;0,Lists!$C$8&gt;=SUMIFS('員工更表輸入'!$E$5:$E$39,'員工更表輸入'!$A$5:$A$39,'設定 Settings'!$A$5,'員工更表輸入'!$B$5:$B$39,G$60),Lists!$C$8&lt;SUMIFS('員工更表輸入'!$F$5:$F$39,'員工更表輸入'!$A$5:$A$39,'設定 Settings'!$A$5,'員工更表輸入'!$B$5:$B$39,G$60)),"Break","Work"))</f>
        <v/>
      </c>
      <c r="H67" s="24">
        <f>IF(OR(SUMIFS('員工更表輸入'!$D$5:$D$39,'員工更表輸入'!$A$5:$A$39,'設定 Settings'!$A$5,'員工更表輸入'!$B$5:$B$39,H$60)&lt;=0,Lists!$C$8&lt;SUMIFS('員工更表輸入'!$C$5:$C$39,'員工更表輸入'!$A$5:$A$39,'設定 Settings'!$A$5,'員工更表輸入'!$B$5:$B$39,H$60),Lists!$C$8&gt;=SUMIFS('員工更表輸入'!$D$5:$D$39,'員工更表輸入'!$A$5:$A$39,'設定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Settings'!$A$5,'員工更表輸入'!$B$5:$B$39,H$60)&gt;0,Lists!$C$8&gt;=SUMIFS('員工更表輸入'!$E$5:$E$39,'員工更表輸入'!$A$5:$A$39,'設定 Settings'!$A$5,'員工更表輸入'!$B$5:$B$39,H$60),Lists!$C$8&lt;SUMIFS('員工更表輸入'!$F$5:$F$39,'員工更表輸入'!$A$5:$A$39,'設定 Settings'!$A$5,'員工更表輸入'!$B$5:$B$39,H$60)),"Break","Work"))</f>
        <v/>
      </c>
    </row>
    <row r="68">
      <c r="A68" s="22" t="inlineStr">
        <is>
          <t>1:15pm-1:45pm</t>
        </is>
      </c>
      <c r="B68" s="24">
        <f>IF(OR(SUMIFS('員工更表輸入'!$D$5:$D$39,'員工更表輸入'!$A$5:$A$39,'設定 Settings'!$A$5,'員工更表輸入'!$B$5:$B$39,B$60)&lt;=0,Lists!$C$9&lt;SUMIFS('員工更表輸入'!$C$5:$C$39,'員工更表輸入'!$A$5:$A$39,'設定 Settings'!$A$5,'員工更表輸入'!$B$5:$B$39,B$60),Lists!$C$9&gt;=SUMIFS('員工更表輸入'!$D$5:$D$39,'員工更表輸入'!$A$5:$A$39,'設定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Settings'!$A$5,'員工更表輸入'!$B$5:$B$39,B$60)&gt;0,Lists!$C$9&gt;=SUMIFS('員工更表輸入'!$E$5:$E$39,'員工更表輸入'!$A$5:$A$39,'設定 Settings'!$A$5,'員工更表輸入'!$B$5:$B$39,B$60),Lists!$C$9&lt;SUMIFS('員工更表輸入'!$F$5:$F$39,'員工更表輸入'!$A$5:$A$39,'設定 Settings'!$A$5,'員工更表輸入'!$B$5:$B$39,B$60)),"Break","Work"))</f>
        <v/>
      </c>
      <c r="C68" s="24">
        <f>IF(OR(SUMIFS('員工更表輸入'!$D$5:$D$39,'員工更表輸入'!$A$5:$A$39,'設定 Settings'!$A$5,'員工更表輸入'!$B$5:$B$39,C$60)&lt;=0,Lists!$C$9&lt;SUMIFS('員工更表輸入'!$C$5:$C$39,'員工更表輸入'!$A$5:$A$39,'設定 Settings'!$A$5,'員工更表輸入'!$B$5:$B$39,C$60),Lists!$C$9&gt;=SUMIFS('員工更表輸入'!$D$5:$D$39,'員工更表輸入'!$A$5:$A$39,'設定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Settings'!$A$5,'員工更表輸入'!$B$5:$B$39,C$60)&gt;0,Lists!$C$9&gt;=SUMIFS('員工更表輸入'!$E$5:$E$39,'員工更表輸入'!$A$5:$A$39,'設定 Settings'!$A$5,'員工更表輸入'!$B$5:$B$39,C$60),Lists!$C$9&lt;SUMIFS('員工更表輸入'!$F$5:$F$39,'員工更表輸入'!$A$5:$A$39,'設定 Settings'!$A$5,'員工更表輸入'!$B$5:$B$39,C$60)),"Break","Work"))</f>
        <v/>
      </c>
      <c r="D68" s="24">
        <f>IF(OR(SUMIFS('員工更表輸入'!$D$5:$D$39,'員工更表輸入'!$A$5:$A$39,'設定 Settings'!$A$5,'員工更表輸入'!$B$5:$B$39,D$60)&lt;=0,Lists!$C$9&lt;SUMIFS('員工更表輸入'!$C$5:$C$39,'員工更表輸入'!$A$5:$A$39,'設定 Settings'!$A$5,'員工更表輸入'!$B$5:$B$39,D$60),Lists!$C$9&gt;=SUMIFS('員工更表輸入'!$D$5:$D$39,'員工更表輸入'!$A$5:$A$39,'設定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Settings'!$A$5,'員工更表輸入'!$B$5:$B$39,D$60)&gt;0,Lists!$C$9&gt;=SUMIFS('員工更表輸入'!$E$5:$E$39,'員工更表輸入'!$A$5:$A$39,'設定 Settings'!$A$5,'員工更表輸入'!$B$5:$B$39,D$60),Lists!$C$9&lt;SUMIFS('員工更表輸入'!$F$5:$F$39,'員工更表輸入'!$A$5:$A$39,'設定 Settings'!$A$5,'員工更表輸入'!$B$5:$B$39,D$60)),"Break","Work"))</f>
        <v/>
      </c>
      <c r="E68" s="24">
        <f>IF(OR(SUMIFS('員工更表輸入'!$D$5:$D$39,'員工更表輸入'!$A$5:$A$39,'設定 Settings'!$A$5,'員工更表輸入'!$B$5:$B$39,E$60)&lt;=0,Lists!$C$9&lt;SUMIFS('員工更表輸入'!$C$5:$C$39,'員工更表輸入'!$A$5:$A$39,'設定 Settings'!$A$5,'員工更表輸入'!$B$5:$B$39,E$60),Lists!$C$9&gt;=SUMIFS('員工更表輸入'!$D$5:$D$39,'員工更表輸入'!$A$5:$A$39,'設定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Settings'!$A$5,'員工更表輸入'!$B$5:$B$39,E$60)&gt;0,Lists!$C$9&gt;=SUMIFS('員工更表輸入'!$E$5:$E$39,'員工更表輸入'!$A$5:$A$39,'設定 Settings'!$A$5,'員工更表輸入'!$B$5:$B$39,E$60),Lists!$C$9&lt;SUMIFS('員工更表輸入'!$F$5:$F$39,'員工更表輸入'!$A$5:$A$39,'設定 Settings'!$A$5,'員工更表輸入'!$B$5:$B$39,E$60)),"Break","Work"))</f>
        <v/>
      </c>
      <c r="F68" s="24">
        <f>IF(OR(SUMIFS('員工更表輸入'!$D$5:$D$39,'員工更表輸入'!$A$5:$A$39,'設定 Settings'!$A$5,'員工更表輸入'!$B$5:$B$39,F$60)&lt;=0,Lists!$C$9&lt;SUMIFS('員工更表輸入'!$C$5:$C$39,'員工更表輸入'!$A$5:$A$39,'設定 Settings'!$A$5,'員工更表輸入'!$B$5:$B$39,F$60),Lists!$C$9&gt;=SUMIFS('員工更表輸入'!$D$5:$D$39,'員工更表輸入'!$A$5:$A$39,'設定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Settings'!$A$5,'員工更表輸入'!$B$5:$B$39,F$60)&gt;0,Lists!$C$9&gt;=SUMIFS('員工更表輸入'!$E$5:$E$39,'員工更表輸入'!$A$5:$A$39,'設定 Settings'!$A$5,'員工更表輸入'!$B$5:$B$39,F$60),Lists!$C$9&lt;SUMIFS('員工更表輸入'!$F$5:$F$39,'員工更表輸入'!$A$5:$A$39,'設定 Settings'!$A$5,'員工更表輸入'!$B$5:$B$39,F$60)),"Break","Work"))</f>
        <v/>
      </c>
      <c r="G68" s="24">
        <f>IF(OR(SUMIFS('員工更表輸入'!$D$5:$D$39,'員工更表輸入'!$A$5:$A$39,'設定 Settings'!$A$5,'員工更表輸入'!$B$5:$B$39,G$60)&lt;=0,Lists!$C$9&lt;SUMIFS('員工更表輸入'!$C$5:$C$39,'員工更表輸入'!$A$5:$A$39,'設定 Settings'!$A$5,'員工更表輸入'!$B$5:$B$39,G$60),Lists!$C$9&gt;=SUMIFS('員工更表輸入'!$D$5:$D$39,'員工更表輸入'!$A$5:$A$39,'設定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Settings'!$A$5,'員工更表輸入'!$B$5:$B$39,G$60)&gt;0,Lists!$C$9&gt;=SUMIFS('員工更表輸入'!$E$5:$E$39,'員工更表輸入'!$A$5:$A$39,'設定 Settings'!$A$5,'員工更表輸入'!$B$5:$B$39,G$60),Lists!$C$9&lt;SUMIFS('員工更表輸入'!$F$5:$F$39,'員工更表輸入'!$A$5:$A$39,'設定 Settings'!$A$5,'員工更表輸入'!$B$5:$B$39,G$60)),"Break","Work"))</f>
        <v/>
      </c>
      <c r="H68" s="24">
        <f>IF(OR(SUMIFS('員工更表輸入'!$D$5:$D$39,'員工更表輸入'!$A$5:$A$39,'設定 Settings'!$A$5,'員工更表輸入'!$B$5:$B$39,H$60)&lt;=0,Lists!$C$9&lt;SUMIFS('員工更表輸入'!$C$5:$C$39,'員工更表輸入'!$A$5:$A$39,'設定 Settings'!$A$5,'員工更表輸入'!$B$5:$B$39,H$60),Lists!$C$9&gt;=SUMIFS('員工更表輸入'!$D$5:$D$39,'員工更表輸入'!$A$5:$A$39,'設定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Settings'!$A$5,'員工更表輸入'!$B$5:$B$39,H$60)&gt;0,Lists!$C$9&gt;=SUMIFS('員工更表輸入'!$E$5:$E$39,'員工更表輸入'!$A$5:$A$39,'設定 Settings'!$A$5,'員工更表輸入'!$B$5:$B$39,H$60),Lists!$C$9&lt;SUMIFS('員工更表輸入'!$F$5:$F$39,'員工更表輸入'!$A$5:$A$39,'設定 Settings'!$A$5,'員工更表輸入'!$B$5:$B$39,H$60)),"Break","Work"))</f>
        <v/>
      </c>
    </row>
    <row r="69">
      <c r="A69" s="22" t="inlineStr">
        <is>
          <t>1:45pm-2:15pm</t>
        </is>
      </c>
      <c r="B69" s="24">
        <f>IF(OR(SUMIFS('員工更表輸入'!$D$5:$D$39,'員工更表輸入'!$A$5:$A$39,'設定 Settings'!$A$5,'員工更表輸入'!$B$5:$B$39,B$60)&lt;=0,Lists!$C$10&lt;SUMIFS('員工更表輸入'!$C$5:$C$39,'員工更表輸入'!$A$5:$A$39,'設定 Settings'!$A$5,'員工更表輸入'!$B$5:$B$39,B$60),Lists!$C$10&gt;=SUMIFS('員工更表輸入'!$D$5:$D$39,'員工更表輸入'!$A$5:$A$39,'設定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Settings'!$A$5,'員工更表輸入'!$B$5:$B$39,B$60)&gt;0,Lists!$C$10&gt;=SUMIFS('員工更表輸入'!$E$5:$E$39,'員工更表輸入'!$A$5:$A$39,'設定 Settings'!$A$5,'員工更表輸入'!$B$5:$B$39,B$60),Lists!$C$10&lt;SUMIFS('員工更表輸入'!$F$5:$F$39,'員工更表輸入'!$A$5:$A$39,'設定 Settings'!$A$5,'員工更表輸入'!$B$5:$B$39,B$60)),"Break","Work"))</f>
        <v/>
      </c>
      <c r="C69" s="24">
        <f>IF(OR(SUMIFS('員工更表輸入'!$D$5:$D$39,'員工更表輸入'!$A$5:$A$39,'設定 Settings'!$A$5,'員工更表輸入'!$B$5:$B$39,C$60)&lt;=0,Lists!$C$10&lt;SUMIFS('員工更表輸入'!$C$5:$C$39,'員工更表輸入'!$A$5:$A$39,'設定 Settings'!$A$5,'員工更表輸入'!$B$5:$B$39,C$60),Lists!$C$10&gt;=SUMIFS('員工更表輸入'!$D$5:$D$39,'員工更表輸入'!$A$5:$A$39,'設定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Settings'!$A$5,'員工更表輸入'!$B$5:$B$39,C$60)&gt;0,Lists!$C$10&gt;=SUMIFS('員工更表輸入'!$E$5:$E$39,'員工更表輸入'!$A$5:$A$39,'設定 Settings'!$A$5,'員工更表輸入'!$B$5:$B$39,C$60),Lists!$C$10&lt;SUMIFS('員工更表輸入'!$F$5:$F$39,'員工更表輸入'!$A$5:$A$39,'設定 Settings'!$A$5,'員工更表輸入'!$B$5:$B$39,C$60)),"Break","Work"))</f>
        <v/>
      </c>
      <c r="D69" s="24">
        <f>IF(OR(SUMIFS('員工更表輸入'!$D$5:$D$39,'員工更表輸入'!$A$5:$A$39,'設定 Settings'!$A$5,'員工更表輸入'!$B$5:$B$39,D$60)&lt;=0,Lists!$C$10&lt;SUMIFS('員工更表輸入'!$C$5:$C$39,'員工更表輸入'!$A$5:$A$39,'設定 Settings'!$A$5,'員工更表輸入'!$B$5:$B$39,D$60),Lists!$C$10&gt;=SUMIFS('員工更表輸入'!$D$5:$D$39,'員工更表輸入'!$A$5:$A$39,'設定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Settings'!$A$5,'員工更表輸入'!$B$5:$B$39,D$60)&gt;0,Lists!$C$10&gt;=SUMIFS('員工更表輸入'!$E$5:$E$39,'員工更表輸入'!$A$5:$A$39,'設定 Settings'!$A$5,'員工更表輸入'!$B$5:$B$39,D$60),Lists!$C$10&lt;SUMIFS('員工更表輸入'!$F$5:$F$39,'員工更表輸入'!$A$5:$A$39,'設定 Settings'!$A$5,'員工更表輸入'!$B$5:$B$39,D$60)),"Break","Work"))</f>
        <v/>
      </c>
      <c r="E69" s="24">
        <f>IF(OR(SUMIFS('員工更表輸入'!$D$5:$D$39,'員工更表輸入'!$A$5:$A$39,'設定 Settings'!$A$5,'員工更表輸入'!$B$5:$B$39,E$60)&lt;=0,Lists!$C$10&lt;SUMIFS('員工更表輸入'!$C$5:$C$39,'員工更表輸入'!$A$5:$A$39,'設定 Settings'!$A$5,'員工更表輸入'!$B$5:$B$39,E$60),Lists!$C$10&gt;=SUMIFS('員工更表輸入'!$D$5:$D$39,'員工更表輸入'!$A$5:$A$39,'設定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Settings'!$A$5,'員工更表輸入'!$B$5:$B$39,E$60)&gt;0,Lists!$C$10&gt;=SUMIFS('員工更表輸入'!$E$5:$E$39,'員工更表輸入'!$A$5:$A$39,'設定 Settings'!$A$5,'員工更表輸入'!$B$5:$B$39,E$60),Lists!$C$10&lt;SUMIFS('員工更表輸入'!$F$5:$F$39,'員工更表輸入'!$A$5:$A$39,'設定 Settings'!$A$5,'員工更表輸入'!$B$5:$B$39,E$60)),"Break","Work"))</f>
        <v/>
      </c>
      <c r="F69" s="24">
        <f>IF(OR(SUMIFS('員工更表輸入'!$D$5:$D$39,'員工更表輸入'!$A$5:$A$39,'設定 Settings'!$A$5,'員工更表輸入'!$B$5:$B$39,F$60)&lt;=0,Lists!$C$10&lt;SUMIFS('員工更表輸入'!$C$5:$C$39,'員工更表輸入'!$A$5:$A$39,'設定 Settings'!$A$5,'員工更表輸入'!$B$5:$B$39,F$60),Lists!$C$10&gt;=SUMIFS('員工更表輸入'!$D$5:$D$39,'員工更表輸入'!$A$5:$A$39,'設定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Settings'!$A$5,'員工更表輸入'!$B$5:$B$39,F$60)&gt;0,Lists!$C$10&gt;=SUMIFS('員工更表輸入'!$E$5:$E$39,'員工更表輸入'!$A$5:$A$39,'設定 Settings'!$A$5,'員工更表輸入'!$B$5:$B$39,F$60),Lists!$C$10&lt;SUMIFS('員工更表輸入'!$F$5:$F$39,'員工更表輸入'!$A$5:$A$39,'設定 Settings'!$A$5,'員工更表輸入'!$B$5:$B$39,F$60)),"Break","Work"))</f>
        <v/>
      </c>
      <c r="G69" s="24">
        <f>IF(OR(SUMIFS('員工更表輸入'!$D$5:$D$39,'員工更表輸入'!$A$5:$A$39,'設定 Settings'!$A$5,'員工更表輸入'!$B$5:$B$39,G$60)&lt;=0,Lists!$C$10&lt;SUMIFS('員工更表輸入'!$C$5:$C$39,'員工更表輸入'!$A$5:$A$39,'設定 Settings'!$A$5,'員工更表輸入'!$B$5:$B$39,G$60),Lists!$C$10&gt;=SUMIFS('員工更表輸入'!$D$5:$D$39,'員工更表輸入'!$A$5:$A$39,'設定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Settings'!$A$5,'員工更表輸入'!$B$5:$B$39,G$60)&gt;0,Lists!$C$10&gt;=SUMIFS('員工更表輸入'!$E$5:$E$39,'員工更表輸入'!$A$5:$A$39,'設定 Settings'!$A$5,'員工更表輸入'!$B$5:$B$39,G$60),Lists!$C$10&lt;SUMIFS('員工更表輸入'!$F$5:$F$39,'員工更表輸入'!$A$5:$A$39,'設定 Settings'!$A$5,'員工更表輸入'!$B$5:$B$39,G$60)),"Break","Work"))</f>
        <v/>
      </c>
      <c r="H69" s="24">
        <f>IF(OR(SUMIFS('員工更表輸入'!$D$5:$D$39,'員工更表輸入'!$A$5:$A$39,'設定 Settings'!$A$5,'員工更表輸入'!$B$5:$B$39,H$60)&lt;=0,Lists!$C$10&lt;SUMIFS('員工更表輸入'!$C$5:$C$39,'員工更表輸入'!$A$5:$A$39,'設定 Settings'!$A$5,'員工更表輸入'!$B$5:$B$39,H$60),Lists!$C$10&gt;=SUMIFS('員工更表輸入'!$D$5:$D$39,'員工更表輸入'!$A$5:$A$39,'設定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Settings'!$A$5,'員工更表輸入'!$B$5:$B$39,H$60)&gt;0,Lists!$C$10&gt;=SUMIFS('員工更表輸入'!$E$5:$E$39,'員工更表輸入'!$A$5:$A$39,'設定 Settings'!$A$5,'員工更表輸入'!$B$5:$B$39,H$60),Lists!$C$10&lt;SUMIFS('員工更表輸入'!$F$5:$F$39,'員工更表輸入'!$A$5:$A$39,'設定 Settings'!$A$5,'員工更表輸入'!$B$5:$B$39,H$60)),"Break","Work"))</f>
        <v/>
      </c>
    </row>
    <row r="70">
      <c r="A70" s="22" t="inlineStr">
        <is>
          <t>2:15pm-2:45pm</t>
        </is>
      </c>
      <c r="B70" s="24">
        <f>IF(OR(SUMIFS('員工更表輸入'!$D$5:$D$39,'員工更表輸入'!$A$5:$A$39,'設定 Settings'!$A$5,'員工更表輸入'!$B$5:$B$39,B$60)&lt;=0,Lists!$C$11&lt;SUMIFS('員工更表輸入'!$C$5:$C$39,'員工更表輸入'!$A$5:$A$39,'設定 Settings'!$A$5,'員工更表輸入'!$B$5:$B$39,B$60),Lists!$C$11&gt;=SUMIFS('員工更表輸入'!$D$5:$D$39,'員工更表輸入'!$A$5:$A$39,'設定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Settings'!$A$5,'員工更表輸入'!$B$5:$B$39,B$60)&gt;0,Lists!$C$11&gt;=SUMIFS('員工更表輸入'!$E$5:$E$39,'員工更表輸入'!$A$5:$A$39,'設定 Settings'!$A$5,'員工更表輸入'!$B$5:$B$39,B$60),Lists!$C$11&lt;SUMIFS('員工更表輸入'!$F$5:$F$39,'員工更表輸入'!$A$5:$A$39,'設定 Settings'!$A$5,'員工更表輸入'!$B$5:$B$39,B$60)),"Break","Work"))</f>
        <v/>
      </c>
      <c r="C70" s="24">
        <f>IF(OR(SUMIFS('員工更表輸入'!$D$5:$D$39,'員工更表輸入'!$A$5:$A$39,'設定 Settings'!$A$5,'員工更表輸入'!$B$5:$B$39,C$60)&lt;=0,Lists!$C$11&lt;SUMIFS('員工更表輸入'!$C$5:$C$39,'員工更表輸入'!$A$5:$A$39,'設定 Settings'!$A$5,'員工更表輸入'!$B$5:$B$39,C$60),Lists!$C$11&gt;=SUMIFS('員工更表輸入'!$D$5:$D$39,'員工更表輸入'!$A$5:$A$39,'設定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Settings'!$A$5,'員工更表輸入'!$B$5:$B$39,C$60)&gt;0,Lists!$C$11&gt;=SUMIFS('員工更表輸入'!$E$5:$E$39,'員工更表輸入'!$A$5:$A$39,'設定 Settings'!$A$5,'員工更表輸入'!$B$5:$B$39,C$60),Lists!$C$11&lt;SUMIFS('員工更表輸入'!$F$5:$F$39,'員工更表輸入'!$A$5:$A$39,'設定 Settings'!$A$5,'員工更表輸入'!$B$5:$B$39,C$60)),"Break","Work"))</f>
        <v/>
      </c>
      <c r="D70" s="24">
        <f>IF(OR(SUMIFS('員工更表輸入'!$D$5:$D$39,'員工更表輸入'!$A$5:$A$39,'設定 Settings'!$A$5,'員工更表輸入'!$B$5:$B$39,D$60)&lt;=0,Lists!$C$11&lt;SUMIFS('員工更表輸入'!$C$5:$C$39,'員工更表輸入'!$A$5:$A$39,'設定 Settings'!$A$5,'員工更表輸入'!$B$5:$B$39,D$60),Lists!$C$11&gt;=SUMIFS('員工更表輸入'!$D$5:$D$39,'員工更表輸入'!$A$5:$A$39,'設定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Settings'!$A$5,'員工更表輸入'!$B$5:$B$39,D$60)&gt;0,Lists!$C$11&gt;=SUMIFS('員工更表輸入'!$E$5:$E$39,'員工更表輸入'!$A$5:$A$39,'設定 Settings'!$A$5,'員工更表輸入'!$B$5:$B$39,D$60),Lists!$C$11&lt;SUMIFS('員工更表輸入'!$F$5:$F$39,'員工更表輸入'!$A$5:$A$39,'設定 Settings'!$A$5,'員工更表輸入'!$B$5:$B$39,D$60)),"Break","Work"))</f>
        <v/>
      </c>
      <c r="E70" s="24">
        <f>IF(OR(SUMIFS('員工更表輸入'!$D$5:$D$39,'員工更表輸入'!$A$5:$A$39,'設定 Settings'!$A$5,'員工更表輸入'!$B$5:$B$39,E$60)&lt;=0,Lists!$C$11&lt;SUMIFS('員工更表輸入'!$C$5:$C$39,'員工更表輸入'!$A$5:$A$39,'設定 Settings'!$A$5,'員工更表輸入'!$B$5:$B$39,E$60),Lists!$C$11&gt;=SUMIFS('員工更表輸入'!$D$5:$D$39,'員工更表輸入'!$A$5:$A$39,'設定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Settings'!$A$5,'員工更表輸入'!$B$5:$B$39,E$60)&gt;0,Lists!$C$11&gt;=SUMIFS('員工更表輸入'!$E$5:$E$39,'員工更表輸入'!$A$5:$A$39,'設定 Settings'!$A$5,'員工更表輸入'!$B$5:$B$39,E$60),Lists!$C$11&lt;SUMIFS('員工更表輸入'!$F$5:$F$39,'員工更表輸入'!$A$5:$A$39,'設定 Settings'!$A$5,'員工更表輸入'!$B$5:$B$39,E$60)),"Break","Work"))</f>
        <v/>
      </c>
      <c r="F70" s="24">
        <f>IF(OR(SUMIFS('員工更表輸入'!$D$5:$D$39,'員工更表輸入'!$A$5:$A$39,'設定 Settings'!$A$5,'員工更表輸入'!$B$5:$B$39,F$60)&lt;=0,Lists!$C$11&lt;SUMIFS('員工更表輸入'!$C$5:$C$39,'員工更表輸入'!$A$5:$A$39,'設定 Settings'!$A$5,'員工更表輸入'!$B$5:$B$39,F$60),Lists!$C$11&gt;=SUMIFS('員工更表輸入'!$D$5:$D$39,'員工更表輸入'!$A$5:$A$39,'設定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Settings'!$A$5,'員工更表輸入'!$B$5:$B$39,F$60)&gt;0,Lists!$C$11&gt;=SUMIFS('員工更表輸入'!$E$5:$E$39,'員工更表輸入'!$A$5:$A$39,'設定 Settings'!$A$5,'員工更表輸入'!$B$5:$B$39,F$60),Lists!$C$11&lt;SUMIFS('員工更表輸入'!$F$5:$F$39,'員工更表輸入'!$A$5:$A$39,'設定 Settings'!$A$5,'員工更表輸入'!$B$5:$B$39,F$60)),"Break","Work"))</f>
        <v/>
      </c>
      <c r="G70" s="24">
        <f>IF(OR(SUMIFS('員工更表輸入'!$D$5:$D$39,'員工更表輸入'!$A$5:$A$39,'設定 Settings'!$A$5,'員工更表輸入'!$B$5:$B$39,G$60)&lt;=0,Lists!$C$11&lt;SUMIFS('員工更表輸入'!$C$5:$C$39,'員工更表輸入'!$A$5:$A$39,'設定 Settings'!$A$5,'員工更表輸入'!$B$5:$B$39,G$60),Lists!$C$11&gt;=SUMIFS('員工更表輸入'!$D$5:$D$39,'員工更表輸入'!$A$5:$A$39,'設定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Settings'!$A$5,'員工更表輸入'!$B$5:$B$39,G$60)&gt;0,Lists!$C$11&gt;=SUMIFS('員工更表輸入'!$E$5:$E$39,'員工更表輸入'!$A$5:$A$39,'設定 Settings'!$A$5,'員工更表輸入'!$B$5:$B$39,G$60),Lists!$C$11&lt;SUMIFS('員工更表輸入'!$F$5:$F$39,'員工更表輸入'!$A$5:$A$39,'設定 Settings'!$A$5,'員工更表輸入'!$B$5:$B$39,G$60)),"Break","Work"))</f>
        <v/>
      </c>
      <c r="H70" s="24">
        <f>IF(OR(SUMIFS('員工更表輸入'!$D$5:$D$39,'員工更表輸入'!$A$5:$A$39,'設定 Settings'!$A$5,'員工更表輸入'!$B$5:$B$39,H$60)&lt;=0,Lists!$C$11&lt;SUMIFS('員工更表輸入'!$C$5:$C$39,'員工更表輸入'!$A$5:$A$39,'設定 Settings'!$A$5,'員工更表輸入'!$B$5:$B$39,H$60),Lists!$C$11&gt;=SUMIFS('員工更表輸入'!$D$5:$D$39,'員工更表輸入'!$A$5:$A$39,'設定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Settings'!$A$5,'員工更表輸入'!$B$5:$B$39,H$60)&gt;0,Lists!$C$11&gt;=SUMIFS('員工更表輸入'!$E$5:$E$39,'員工更表輸入'!$A$5:$A$39,'設定 Settings'!$A$5,'員工更表輸入'!$B$5:$B$39,H$60),Lists!$C$11&lt;SUMIFS('員工更表輸入'!$F$5:$F$39,'員工更表輸入'!$A$5:$A$39,'設定 Settings'!$A$5,'員工更表輸入'!$B$5:$B$39,H$60)),"Break","Work"))</f>
        <v/>
      </c>
    </row>
    <row r="71">
      <c r="A71" s="22" t="inlineStr">
        <is>
          <t>2:45pm-3:15pm</t>
        </is>
      </c>
      <c r="B71" s="24">
        <f>IF(OR(SUMIFS('員工更表輸入'!$D$5:$D$39,'員工更表輸入'!$A$5:$A$39,'設定 Settings'!$A$5,'員工更表輸入'!$B$5:$B$39,B$60)&lt;=0,Lists!$C$12&lt;SUMIFS('員工更表輸入'!$C$5:$C$39,'員工更表輸入'!$A$5:$A$39,'設定 Settings'!$A$5,'員工更表輸入'!$B$5:$B$39,B$60),Lists!$C$12&gt;=SUMIFS('員工更表輸入'!$D$5:$D$39,'員工更表輸入'!$A$5:$A$39,'設定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Settings'!$A$5,'員工更表輸入'!$B$5:$B$39,B$60)&gt;0,Lists!$C$12&gt;=SUMIFS('員工更表輸入'!$E$5:$E$39,'員工更表輸入'!$A$5:$A$39,'設定 Settings'!$A$5,'員工更表輸入'!$B$5:$B$39,B$60),Lists!$C$12&lt;SUMIFS('員工更表輸入'!$F$5:$F$39,'員工更表輸入'!$A$5:$A$39,'設定 Settings'!$A$5,'員工更表輸入'!$B$5:$B$39,B$60)),"Break","Work"))</f>
        <v/>
      </c>
      <c r="C71" s="24">
        <f>IF(OR(SUMIFS('員工更表輸入'!$D$5:$D$39,'員工更表輸入'!$A$5:$A$39,'設定 Settings'!$A$5,'員工更表輸入'!$B$5:$B$39,C$60)&lt;=0,Lists!$C$12&lt;SUMIFS('員工更表輸入'!$C$5:$C$39,'員工更表輸入'!$A$5:$A$39,'設定 Settings'!$A$5,'員工更表輸入'!$B$5:$B$39,C$60),Lists!$C$12&gt;=SUMIFS('員工更表輸入'!$D$5:$D$39,'員工更表輸入'!$A$5:$A$39,'設定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Settings'!$A$5,'員工更表輸入'!$B$5:$B$39,C$60)&gt;0,Lists!$C$12&gt;=SUMIFS('員工更表輸入'!$E$5:$E$39,'員工更表輸入'!$A$5:$A$39,'設定 Settings'!$A$5,'員工更表輸入'!$B$5:$B$39,C$60),Lists!$C$12&lt;SUMIFS('員工更表輸入'!$F$5:$F$39,'員工更表輸入'!$A$5:$A$39,'設定 Settings'!$A$5,'員工更表輸入'!$B$5:$B$39,C$60)),"Break","Work"))</f>
        <v/>
      </c>
      <c r="D71" s="24">
        <f>IF(OR(SUMIFS('員工更表輸入'!$D$5:$D$39,'員工更表輸入'!$A$5:$A$39,'設定 Settings'!$A$5,'員工更表輸入'!$B$5:$B$39,D$60)&lt;=0,Lists!$C$12&lt;SUMIFS('員工更表輸入'!$C$5:$C$39,'員工更表輸入'!$A$5:$A$39,'設定 Settings'!$A$5,'員工更表輸入'!$B$5:$B$39,D$60),Lists!$C$12&gt;=SUMIFS('員工更表輸入'!$D$5:$D$39,'員工更表輸入'!$A$5:$A$39,'設定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Settings'!$A$5,'員工更表輸入'!$B$5:$B$39,D$60)&gt;0,Lists!$C$12&gt;=SUMIFS('員工更表輸入'!$E$5:$E$39,'員工更表輸入'!$A$5:$A$39,'設定 Settings'!$A$5,'員工更表輸入'!$B$5:$B$39,D$60),Lists!$C$12&lt;SUMIFS('員工更表輸入'!$F$5:$F$39,'員工更表輸入'!$A$5:$A$39,'設定 Settings'!$A$5,'員工更表輸入'!$B$5:$B$39,D$60)),"Break","Work"))</f>
        <v/>
      </c>
      <c r="E71" s="24">
        <f>IF(OR(SUMIFS('員工更表輸入'!$D$5:$D$39,'員工更表輸入'!$A$5:$A$39,'設定 Settings'!$A$5,'員工更表輸入'!$B$5:$B$39,E$60)&lt;=0,Lists!$C$12&lt;SUMIFS('員工更表輸入'!$C$5:$C$39,'員工更表輸入'!$A$5:$A$39,'設定 Settings'!$A$5,'員工更表輸入'!$B$5:$B$39,E$60),Lists!$C$12&gt;=SUMIFS('員工更表輸入'!$D$5:$D$39,'員工更表輸入'!$A$5:$A$39,'設定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Settings'!$A$5,'員工更表輸入'!$B$5:$B$39,E$60)&gt;0,Lists!$C$12&gt;=SUMIFS('員工更表輸入'!$E$5:$E$39,'員工更表輸入'!$A$5:$A$39,'設定 Settings'!$A$5,'員工更表輸入'!$B$5:$B$39,E$60),Lists!$C$12&lt;SUMIFS('員工更表輸入'!$F$5:$F$39,'員工更表輸入'!$A$5:$A$39,'設定 Settings'!$A$5,'員工更表輸入'!$B$5:$B$39,E$60)),"Break","Work"))</f>
        <v/>
      </c>
      <c r="F71" s="24">
        <f>IF(OR(SUMIFS('員工更表輸入'!$D$5:$D$39,'員工更表輸入'!$A$5:$A$39,'設定 Settings'!$A$5,'員工更表輸入'!$B$5:$B$39,F$60)&lt;=0,Lists!$C$12&lt;SUMIFS('員工更表輸入'!$C$5:$C$39,'員工更表輸入'!$A$5:$A$39,'設定 Settings'!$A$5,'員工更表輸入'!$B$5:$B$39,F$60),Lists!$C$12&gt;=SUMIFS('員工更表輸入'!$D$5:$D$39,'員工更表輸入'!$A$5:$A$39,'設定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Settings'!$A$5,'員工更表輸入'!$B$5:$B$39,F$60)&gt;0,Lists!$C$12&gt;=SUMIFS('員工更表輸入'!$E$5:$E$39,'員工更表輸入'!$A$5:$A$39,'設定 Settings'!$A$5,'員工更表輸入'!$B$5:$B$39,F$60),Lists!$C$12&lt;SUMIFS('員工更表輸入'!$F$5:$F$39,'員工更表輸入'!$A$5:$A$39,'設定 Settings'!$A$5,'員工更表輸入'!$B$5:$B$39,F$60)),"Break","Work"))</f>
        <v/>
      </c>
      <c r="G71" s="24">
        <f>IF(OR(SUMIFS('員工更表輸入'!$D$5:$D$39,'員工更表輸入'!$A$5:$A$39,'設定 Settings'!$A$5,'員工更表輸入'!$B$5:$B$39,G$60)&lt;=0,Lists!$C$12&lt;SUMIFS('員工更表輸入'!$C$5:$C$39,'員工更表輸入'!$A$5:$A$39,'設定 Settings'!$A$5,'員工更表輸入'!$B$5:$B$39,G$60),Lists!$C$12&gt;=SUMIFS('員工更表輸入'!$D$5:$D$39,'員工更表輸入'!$A$5:$A$39,'設定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Settings'!$A$5,'員工更表輸入'!$B$5:$B$39,G$60)&gt;0,Lists!$C$12&gt;=SUMIFS('員工更表輸入'!$E$5:$E$39,'員工更表輸入'!$A$5:$A$39,'設定 Settings'!$A$5,'員工更表輸入'!$B$5:$B$39,G$60),Lists!$C$12&lt;SUMIFS('員工更表輸入'!$F$5:$F$39,'員工更表輸入'!$A$5:$A$39,'設定 Settings'!$A$5,'員工更表輸入'!$B$5:$B$39,G$60)),"Break","Work"))</f>
        <v/>
      </c>
      <c r="H71" s="24">
        <f>IF(OR(SUMIFS('員工更表輸入'!$D$5:$D$39,'員工更表輸入'!$A$5:$A$39,'設定 Settings'!$A$5,'員工更表輸入'!$B$5:$B$39,H$60)&lt;=0,Lists!$C$12&lt;SUMIFS('員工更表輸入'!$C$5:$C$39,'員工更表輸入'!$A$5:$A$39,'設定 Settings'!$A$5,'員工更表輸入'!$B$5:$B$39,H$60),Lists!$C$12&gt;=SUMIFS('員工更表輸入'!$D$5:$D$39,'員工更表輸入'!$A$5:$A$39,'設定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Settings'!$A$5,'員工更表輸入'!$B$5:$B$39,H$60)&gt;0,Lists!$C$12&gt;=SUMIFS('員工更表輸入'!$E$5:$E$39,'員工更表輸入'!$A$5:$A$39,'設定 Settings'!$A$5,'員工更表輸入'!$B$5:$B$39,H$60),Lists!$C$12&lt;SUMIFS('員工更表輸入'!$F$5:$F$39,'員工更表輸入'!$A$5:$A$39,'設定 Settings'!$A$5,'員工更表輸入'!$B$5:$B$39,H$60)),"Break","Work"))</f>
        <v/>
      </c>
    </row>
    <row r="72">
      <c r="A72" s="22" t="inlineStr">
        <is>
          <t>3:15pm-3:45pm</t>
        </is>
      </c>
      <c r="B72" s="24">
        <f>IF(OR(SUMIFS('員工更表輸入'!$D$5:$D$39,'員工更表輸入'!$A$5:$A$39,'設定 Settings'!$A$5,'員工更表輸入'!$B$5:$B$39,B$60)&lt;=0,Lists!$C$13&lt;SUMIFS('員工更表輸入'!$C$5:$C$39,'員工更表輸入'!$A$5:$A$39,'設定 Settings'!$A$5,'員工更表輸入'!$B$5:$B$39,B$60),Lists!$C$13&gt;=SUMIFS('員工更表輸入'!$D$5:$D$39,'員工更表輸入'!$A$5:$A$39,'設定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Settings'!$A$5,'員工更表輸入'!$B$5:$B$39,B$60)&gt;0,Lists!$C$13&gt;=SUMIFS('員工更表輸入'!$E$5:$E$39,'員工更表輸入'!$A$5:$A$39,'設定 Settings'!$A$5,'員工更表輸入'!$B$5:$B$39,B$60),Lists!$C$13&lt;SUMIFS('員工更表輸入'!$F$5:$F$39,'員工更表輸入'!$A$5:$A$39,'設定 Settings'!$A$5,'員工更表輸入'!$B$5:$B$39,B$60)),"Break","Work"))</f>
        <v/>
      </c>
      <c r="C72" s="24">
        <f>IF(OR(SUMIFS('員工更表輸入'!$D$5:$D$39,'員工更表輸入'!$A$5:$A$39,'設定 Settings'!$A$5,'員工更表輸入'!$B$5:$B$39,C$60)&lt;=0,Lists!$C$13&lt;SUMIFS('員工更表輸入'!$C$5:$C$39,'員工更表輸入'!$A$5:$A$39,'設定 Settings'!$A$5,'員工更表輸入'!$B$5:$B$39,C$60),Lists!$C$13&gt;=SUMIFS('員工更表輸入'!$D$5:$D$39,'員工更表輸入'!$A$5:$A$39,'設定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Settings'!$A$5,'員工更表輸入'!$B$5:$B$39,C$60)&gt;0,Lists!$C$13&gt;=SUMIFS('員工更表輸入'!$E$5:$E$39,'員工更表輸入'!$A$5:$A$39,'設定 Settings'!$A$5,'員工更表輸入'!$B$5:$B$39,C$60),Lists!$C$13&lt;SUMIFS('員工更表輸入'!$F$5:$F$39,'員工更表輸入'!$A$5:$A$39,'設定 Settings'!$A$5,'員工更表輸入'!$B$5:$B$39,C$60)),"Break","Work"))</f>
        <v/>
      </c>
      <c r="D72" s="24">
        <f>IF(OR(SUMIFS('員工更表輸入'!$D$5:$D$39,'員工更表輸入'!$A$5:$A$39,'設定 Settings'!$A$5,'員工更表輸入'!$B$5:$B$39,D$60)&lt;=0,Lists!$C$13&lt;SUMIFS('員工更表輸入'!$C$5:$C$39,'員工更表輸入'!$A$5:$A$39,'設定 Settings'!$A$5,'員工更表輸入'!$B$5:$B$39,D$60),Lists!$C$13&gt;=SUMIFS('員工更表輸入'!$D$5:$D$39,'員工更表輸入'!$A$5:$A$39,'設定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Settings'!$A$5,'員工更表輸入'!$B$5:$B$39,D$60)&gt;0,Lists!$C$13&gt;=SUMIFS('員工更表輸入'!$E$5:$E$39,'員工更表輸入'!$A$5:$A$39,'設定 Settings'!$A$5,'員工更表輸入'!$B$5:$B$39,D$60),Lists!$C$13&lt;SUMIFS('員工更表輸入'!$F$5:$F$39,'員工更表輸入'!$A$5:$A$39,'設定 Settings'!$A$5,'員工更表輸入'!$B$5:$B$39,D$60)),"Break","Work"))</f>
        <v/>
      </c>
      <c r="E72" s="24">
        <f>IF(OR(SUMIFS('員工更表輸入'!$D$5:$D$39,'員工更表輸入'!$A$5:$A$39,'設定 Settings'!$A$5,'員工更表輸入'!$B$5:$B$39,E$60)&lt;=0,Lists!$C$13&lt;SUMIFS('員工更表輸入'!$C$5:$C$39,'員工更表輸入'!$A$5:$A$39,'設定 Settings'!$A$5,'員工更表輸入'!$B$5:$B$39,E$60),Lists!$C$13&gt;=SUMIFS('員工更表輸入'!$D$5:$D$39,'員工更表輸入'!$A$5:$A$39,'設定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Settings'!$A$5,'員工更表輸入'!$B$5:$B$39,E$60)&gt;0,Lists!$C$13&gt;=SUMIFS('員工更表輸入'!$E$5:$E$39,'員工更表輸入'!$A$5:$A$39,'設定 Settings'!$A$5,'員工更表輸入'!$B$5:$B$39,E$60),Lists!$C$13&lt;SUMIFS('員工更表輸入'!$F$5:$F$39,'員工更表輸入'!$A$5:$A$39,'設定 Settings'!$A$5,'員工更表輸入'!$B$5:$B$39,E$60)),"Break","Work"))</f>
        <v/>
      </c>
      <c r="F72" s="24">
        <f>IF(OR(SUMIFS('員工更表輸入'!$D$5:$D$39,'員工更表輸入'!$A$5:$A$39,'設定 Settings'!$A$5,'員工更表輸入'!$B$5:$B$39,F$60)&lt;=0,Lists!$C$13&lt;SUMIFS('員工更表輸入'!$C$5:$C$39,'員工更表輸入'!$A$5:$A$39,'設定 Settings'!$A$5,'員工更表輸入'!$B$5:$B$39,F$60),Lists!$C$13&gt;=SUMIFS('員工更表輸入'!$D$5:$D$39,'員工更表輸入'!$A$5:$A$39,'設定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Settings'!$A$5,'員工更表輸入'!$B$5:$B$39,F$60)&gt;0,Lists!$C$13&gt;=SUMIFS('員工更表輸入'!$E$5:$E$39,'員工更表輸入'!$A$5:$A$39,'設定 Settings'!$A$5,'員工更表輸入'!$B$5:$B$39,F$60),Lists!$C$13&lt;SUMIFS('員工更表輸入'!$F$5:$F$39,'員工更表輸入'!$A$5:$A$39,'設定 Settings'!$A$5,'員工更表輸入'!$B$5:$B$39,F$60)),"Break","Work"))</f>
        <v/>
      </c>
      <c r="G72" s="24">
        <f>IF(OR(SUMIFS('員工更表輸入'!$D$5:$D$39,'員工更表輸入'!$A$5:$A$39,'設定 Settings'!$A$5,'員工更表輸入'!$B$5:$B$39,G$60)&lt;=0,Lists!$C$13&lt;SUMIFS('員工更表輸入'!$C$5:$C$39,'員工更表輸入'!$A$5:$A$39,'設定 Settings'!$A$5,'員工更表輸入'!$B$5:$B$39,G$60),Lists!$C$13&gt;=SUMIFS('員工更表輸入'!$D$5:$D$39,'員工更表輸入'!$A$5:$A$39,'設定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Settings'!$A$5,'員工更表輸入'!$B$5:$B$39,G$60)&gt;0,Lists!$C$13&gt;=SUMIFS('員工更表輸入'!$E$5:$E$39,'員工更表輸入'!$A$5:$A$39,'設定 Settings'!$A$5,'員工更表輸入'!$B$5:$B$39,G$60),Lists!$C$13&lt;SUMIFS('員工更表輸入'!$F$5:$F$39,'員工更表輸入'!$A$5:$A$39,'設定 Settings'!$A$5,'員工更表輸入'!$B$5:$B$39,G$60)),"Break","Work"))</f>
        <v/>
      </c>
      <c r="H72" s="24">
        <f>IF(OR(SUMIFS('員工更表輸入'!$D$5:$D$39,'員工更表輸入'!$A$5:$A$39,'設定 Settings'!$A$5,'員工更表輸入'!$B$5:$B$39,H$60)&lt;=0,Lists!$C$13&lt;SUMIFS('員工更表輸入'!$C$5:$C$39,'員工更表輸入'!$A$5:$A$39,'設定 Settings'!$A$5,'員工更表輸入'!$B$5:$B$39,H$60),Lists!$C$13&gt;=SUMIFS('員工更表輸入'!$D$5:$D$39,'員工更表輸入'!$A$5:$A$39,'設定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Settings'!$A$5,'員工更表輸入'!$B$5:$B$39,H$60)&gt;0,Lists!$C$13&gt;=SUMIFS('員工更表輸入'!$E$5:$E$39,'員工更表輸入'!$A$5:$A$39,'設定 Settings'!$A$5,'員工更表輸入'!$B$5:$B$39,H$60),Lists!$C$13&lt;SUMIFS('員工更表輸入'!$F$5:$F$39,'員工更表輸入'!$A$5:$A$39,'設定 Settings'!$A$5,'員工更表輸入'!$B$5:$B$39,H$60)),"Break","Work"))</f>
        <v/>
      </c>
    </row>
    <row r="73">
      <c r="A73" s="22" t="inlineStr">
        <is>
          <t>3:45pm-4:15pm</t>
        </is>
      </c>
      <c r="B73" s="24">
        <f>IF(OR(SUMIFS('員工更表輸入'!$D$5:$D$39,'員工更表輸入'!$A$5:$A$39,'設定 Settings'!$A$5,'員工更表輸入'!$B$5:$B$39,B$60)&lt;=0,Lists!$C$14&lt;SUMIFS('員工更表輸入'!$C$5:$C$39,'員工更表輸入'!$A$5:$A$39,'設定 Settings'!$A$5,'員工更表輸入'!$B$5:$B$39,B$60),Lists!$C$14&gt;=SUMIFS('員工更表輸入'!$D$5:$D$39,'員工更表輸入'!$A$5:$A$39,'設定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Settings'!$A$5,'員工更表輸入'!$B$5:$B$39,B$60)&gt;0,Lists!$C$14&gt;=SUMIFS('員工更表輸入'!$E$5:$E$39,'員工更表輸入'!$A$5:$A$39,'設定 Settings'!$A$5,'員工更表輸入'!$B$5:$B$39,B$60),Lists!$C$14&lt;SUMIFS('員工更表輸入'!$F$5:$F$39,'員工更表輸入'!$A$5:$A$39,'設定 Settings'!$A$5,'員工更表輸入'!$B$5:$B$39,B$60)),"Break","Work"))</f>
        <v/>
      </c>
      <c r="C73" s="24">
        <f>IF(OR(SUMIFS('員工更表輸入'!$D$5:$D$39,'員工更表輸入'!$A$5:$A$39,'設定 Settings'!$A$5,'員工更表輸入'!$B$5:$B$39,C$60)&lt;=0,Lists!$C$14&lt;SUMIFS('員工更表輸入'!$C$5:$C$39,'員工更表輸入'!$A$5:$A$39,'設定 Settings'!$A$5,'員工更表輸入'!$B$5:$B$39,C$60),Lists!$C$14&gt;=SUMIFS('員工更表輸入'!$D$5:$D$39,'員工更表輸入'!$A$5:$A$39,'設定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Settings'!$A$5,'員工更表輸入'!$B$5:$B$39,C$60)&gt;0,Lists!$C$14&gt;=SUMIFS('員工更表輸入'!$E$5:$E$39,'員工更表輸入'!$A$5:$A$39,'設定 Settings'!$A$5,'員工更表輸入'!$B$5:$B$39,C$60),Lists!$C$14&lt;SUMIFS('員工更表輸入'!$F$5:$F$39,'員工更表輸入'!$A$5:$A$39,'設定 Settings'!$A$5,'員工更表輸入'!$B$5:$B$39,C$60)),"Break","Work"))</f>
        <v/>
      </c>
      <c r="D73" s="24">
        <f>IF(OR(SUMIFS('員工更表輸入'!$D$5:$D$39,'員工更表輸入'!$A$5:$A$39,'設定 Settings'!$A$5,'員工更表輸入'!$B$5:$B$39,D$60)&lt;=0,Lists!$C$14&lt;SUMIFS('員工更表輸入'!$C$5:$C$39,'員工更表輸入'!$A$5:$A$39,'設定 Settings'!$A$5,'員工更表輸入'!$B$5:$B$39,D$60),Lists!$C$14&gt;=SUMIFS('員工更表輸入'!$D$5:$D$39,'員工更表輸入'!$A$5:$A$39,'設定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Settings'!$A$5,'員工更表輸入'!$B$5:$B$39,D$60)&gt;0,Lists!$C$14&gt;=SUMIFS('員工更表輸入'!$E$5:$E$39,'員工更表輸入'!$A$5:$A$39,'設定 Settings'!$A$5,'員工更表輸入'!$B$5:$B$39,D$60),Lists!$C$14&lt;SUMIFS('員工更表輸入'!$F$5:$F$39,'員工更表輸入'!$A$5:$A$39,'設定 Settings'!$A$5,'員工更表輸入'!$B$5:$B$39,D$60)),"Break","Work"))</f>
        <v/>
      </c>
      <c r="E73" s="24">
        <f>IF(OR(SUMIFS('員工更表輸入'!$D$5:$D$39,'員工更表輸入'!$A$5:$A$39,'設定 Settings'!$A$5,'員工更表輸入'!$B$5:$B$39,E$60)&lt;=0,Lists!$C$14&lt;SUMIFS('員工更表輸入'!$C$5:$C$39,'員工更表輸入'!$A$5:$A$39,'設定 Settings'!$A$5,'員工更表輸入'!$B$5:$B$39,E$60),Lists!$C$14&gt;=SUMIFS('員工更表輸入'!$D$5:$D$39,'員工更表輸入'!$A$5:$A$39,'設定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Settings'!$A$5,'員工更表輸入'!$B$5:$B$39,E$60)&gt;0,Lists!$C$14&gt;=SUMIFS('員工更表輸入'!$E$5:$E$39,'員工更表輸入'!$A$5:$A$39,'設定 Settings'!$A$5,'員工更表輸入'!$B$5:$B$39,E$60),Lists!$C$14&lt;SUMIFS('員工更表輸入'!$F$5:$F$39,'員工更表輸入'!$A$5:$A$39,'設定 Settings'!$A$5,'員工更表輸入'!$B$5:$B$39,E$60)),"Break","Work"))</f>
        <v/>
      </c>
      <c r="F73" s="24">
        <f>IF(OR(SUMIFS('員工更表輸入'!$D$5:$D$39,'員工更表輸入'!$A$5:$A$39,'設定 Settings'!$A$5,'員工更表輸入'!$B$5:$B$39,F$60)&lt;=0,Lists!$C$14&lt;SUMIFS('員工更表輸入'!$C$5:$C$39,'員工更表輸入'!$A$5:$A$39,'設定 Settings'!$A$5,'員工更表輸入'!$B$5:$B$39,F$60),Lists!$C$14&gt;=SUMIFS('員工更表輸入'!$D$5:$D$39,'員工更表輸入'!$A$5:$A$39,'設定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Settings'!$A$5,'員工更表輸入'!$B$5:$B$39,F$60)&gt;0,Lists!$C$14&gt;=SUMIFS('員工更表輸入'!$E$5:$E$39,'員工更表輸入'!$A$5:$A$39,'設定 Settings'!$A$5,'員工更表輸入'!$B$5:$B$39,F$60),Lists!$C$14&lt;SUMIFS('員工更表輸入'!$F$5:$F$39,'員工更表輸入'!$A$5:$A$39,'設定 Settings'!$A$5,'員工更表輸入'!$B$5:$B$39,F$60)),"Break","Work"))</f>
        <v/>
      </c>
      <c r="G73" s="24">
        <f>IF(OR(SUMIFS('員工更表輸入'!$D$5:$D$39,'員工更表輸入'!$A$5:$A$39,'設定 Settings'!$A$5,'員工更表輸入'!$B$5:$B$39,G$60)&lt;=0,Lists!$C$14&lt;SUMIFS('員工更表輸入'!$C$5:$C$39,'員工更表輸入'!$A$5:$A$39,'設定 Settings'!$A$5,'員工更表輸入'!$B$5:$B$39,G$60),Lists!$C$14&gt;=SUMIFS('員工更表輸入'!$D$5:$D$39,'員工更表輸入'!$A$5:$A$39,'設定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Settings'!$A$5,'員工更表輸入'!$B$5:$B$39,G$60)&gt;0,Lists!$C$14&gt;=SUMIFS('員工更表輸入'!$E$5:$E$39,'員工更表輸入'!$A$5:$A$39,'設定 Settings'!$A$5,'員工更表輸入'!$B$5:$B$39,G$60),Lists!$C$14&lt;SUMIFS('員工更表輸入'!$F$5:$F$39,'員工更表輸入'!$A$5:$A$39,'設定 Settings'!$A$5,'員工更表輸入'!$B$5:$B$39,G$60)),"Break","Work"))</f>
        <v/>
      </c>
      <c r="H73" s="24">
        <f>IF(OR(SUMIFS('員工更表輸入'!$D$5:$D$39,'員工更表輸入'!$A$5:$A$39,'設定 Settings'!$A$5,'員工更表輸入'!$B$5:$B$39,H$60)&lt;=0,Lists!$C$14&lt;SUMIFS('員工更表輸入'!$C$5:$C$39,'員工更表輸入'!$A$5:$A$39,'設定 Settings'!$A$5,'員工更表輸入'!$B$5:$B$39,H$60),Lists!$C$14&gt;=SUMIFS('員工更表輸入'!$D$5:$D$39,'員工更表輸入'!$A$5:$A$39,'設定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Settings'!$A$5,'員工更表輸入'!$B$5:$B$39,H$60)&gt;0,Lists!$C$14&gt;=SUMIFS('員工更表輸入'!$E$5:$E$39,'員工更表輸入'!$A$5:$A$39,'設定 Settings'!$A$5,'員工更表輸入'!$B$5:$B$39,H$60),Lists!$C$14&lt;SUMIFS('員工更表輸入'!$F$5:$F$39,'員工更表輸入'!$A$5:$A$39,'設定 Settings'!$A$5,'員工更表輸入'!$B$5:$B$39,H$60)),"Break","Work"))</f>
        <v/>
      </c>
    </row>
    <row r="74">
      <c r="A74" s="22" t="inlineStr">
        <is>
          <t>4:15pm-4:45pm</t>
        </is>
      </c>
      <c r="B74" s="24">
        <f>IF(OR(SUMIFS('員工更表輸入'!$D$5:$D$39,'員工更表輸入'!$A$5:$A$39,'設定 Settings'!$A$5,'員工更表輸入'!$B$5:$B$39,B$60)&lt;=0,Lists!$C$15&lt;SUMIFS('員工更表輸入'!$C$5:$C$39,'員工更表輸入'!$A$5:$A$39,'設定 Settings'!$A$5,'員工更表輸入'!$B$5:$B$39,B$60),Lists!$C$15&gt;=SUMIFS('員工更表輸入'!$D$5:$D$39,'員工更表輸入'!$A$5:$A$39,'設定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Settings'!$A$5,'員工更表輸入'!$B$5:$B$39,B$60)&gt;0,Lists!$C$15&gt;=SUMIFS('員工更表輸入'!$E$5:$E$39,'員工更表輸入'!$A$5:$A$39,'設定 Settings'!$A$5,'員工更表輸入'!$B$5:$B$39,B$60),Lists!$C$15&lt;SUMIFS('員工更表輸入'!$F$5:$F$39,'員工更表輸入'!$A$5:$A$39,'設定 Settings'!$A$5,'員工更表輸入'!$B$5:$B$39,B$60)),"Break","Work"))</f>
        <v/>
      </c>
      <c r="C74" s="24">
        <f>IF(OR(SUMIFS('員工更表輸入'!$D$5:$D$39,'員工更表輸入'!$A$5:$A$39,'設定 Settings'!$A$5,'員工更表輸入'!$B$5:$B$39,C$60)&lt;=0,Lists!$C$15&lt;SUMIFS('員工更表輸入'!$C$5:$C$39,'員工更表輸入'!$A$5:$A$39,'設定 Settings'!$A$5,'員工更表輸入'!$B$5:$B$39,C$60),Lists!$C$15&gt;=SUMIFS('員工更表輸入'!$D$5:$D$39,'員工更表輸入'!$A$5:$A$39,'設定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Settings'!$A$5,'員工更表輸入'!$B$5:$B$39,C$60)&gt;0,Lists!$C$15&gt;=SUMIFS('員工更表輸入'!$E$5:$E$39,'員工更表輸入'!$A$5:$A$39,'設定 Settings'!$A$5,'員工更表輸入'!$B$5:$B$39,C$60),Lists!$C$15&lt;SUMIFS('員工更表輸入'!$F$5:$F$39,'員工更表輸入'!$A$5:$A$39,'設定 Settings'!$A$5,'員工更表輸入'!$B$5:$B$39,C$60)),"Break","Work"))</f>
        <v/>
      </c>
      <c r="D74" s="24">
        <f>IF(OR(SUMIFS('員工更表輸入'!$D$5:$D$39,'員工更表輸入'!$A$5:$A$39,'設定 Settings'!$A$5,'員工更表輸入'!$B$5:$B$39,D$60)&lt;=0,Lists!$C$15&lt;SUMIFS('員工更表輸入'!$C$5:$C$39,'員工更表輸入'!$A$5:$A$39,'設定 Settings'!$A$5,'員工更表輸入'!$B$5:$B$39,D$60),Lists!$C$15&gt;=SUMIFS('員工更表輸入'!$D$5:$D$39,'員工更表輸入'!$A$5:$A$39,'設定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Settings'!$A$5,'員工更表輸入'!$B$5:$B$39,D$60)&gt;0,Lists!$C$15&gt;=SUMIFS('員工更表輸入'!$E$5:$E$39,'員工更表輸入'!$A$5:$A$39,'設定 Settings'!$A$5,'員工更表輸入'!$B$5:$B$39,D$60),Lists!$C$15&lt;SUMIFS('員工更表輸入'!$F$5:$F$39,'員工更表輸入'!$A$5:$A$39,'設定 Settings'!$A$5,'員工更表輸入'!$B$5:$B$39,D$60)),"Break","Work"))</f>
        <v/>
      </c>
      <c r="E74" s="24">
        <f>IF(OR(SUMIFS('員工更表輸入'!$D$5:$D$39,'員工更表輸入'!$A$5:$A$39,'設定 Settings'!$A$5,'員工更表輸入'!$B$5:$B$39,E$60)&lt;=0,Lists!$C$15&lt;SUMIFS('員工更表輸入'!$C$5:$C$39,'員工更表輸入'!$A$5:$A$39,'設定 Settings'!$A$5,'員工更表輸入'!$B$5:$B$39,E$60),Lists!$C$15&gt;=SUMIFS('員工更表輸入'!$D$5:$D$39,'員工更表輸入'!$A$5:$A$39,'設定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Settings'!$A$5,'員工更表輸入'!$B$5:$B$39,E$60)&gt;0,Lists!$C$15&gt;=SUMIFS('員工更表輸入'!$E$5:$E$39,'員工更表輸入'!$A$5:$A$39,'設定 Settings'!$A$5,'員工更表輸入'!$B$5:$B$39,E$60),Lists!$C$15&lt;SUMIFS('員工更表輸入'!$F$5:$F$39,'員工更表輸入'!$A$5:$A$39,'設定 Settings'!$A$5,'員工更表輸入'!$B$5:$B$39,E$60)),"Break","Work"))</f>
        <v/>
      </c>
      <c r="F74" s="24">
        <f>IF(OR(SUMIFS('員工更表輸入'!$D$5:$D$39,'員工更表輸入'!$A$5:$A$39,'設定 Settings'!$A$5,'員工更表輸入'!$B$5:$B$39,F$60)&lt;=0,Lists!$C$15&lt;SUMIFS('員工更表輸入'!$C$5:$C$39,'員工更表輸入'!$A$5:$A$39,'設定 Settings'!$A$5,'員工更表輸入'!$B$5:$B$39,F$60),Lists!$C$15&gt;=SUMIFS('員工更表輸入'!$D$5:$D$39,'員工更表輸入'!$A$5:$A$39,'設定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Settings'!$A$5,'員工更表輸入'!$B$5:$B$39,F$60)&gt;0,Lists!$C$15&gt;=SUMIFS('員工更表輸入'!$E$5:$E$39,'員工更表輸入'!$A$5:$A$39,'設定 Settings'!$A$5,'員工更表輸入'!$B$5:$B$39,F$60),Lists!$C$15&lt;SUMIFS('員工更表輸入'!$F$5:$F$39,'員工更表輸入'!$A$5:$A$39,'設定 Settings'!$A$5,'員工更表輸入'!$B$5:$B$39,F$60)),"Break","Work"))</f>
        <v/>
      </c>
      <c r="G74" s="24">
        <f>IF(OR(SUMIFS('員工更表輸入'!$D$5:$D$39,'員工更表輸入'!$A$5:$A$39,'設定 Settings'!$A$5,'員工更表輸入'!$B$5:$B$39,G$60)&lt;=0,Lists!$C$15&lt;SUMIFS('員工更表輸入'!$C$5:$C$39,'員工更表輸入'!$A$5:$A$39,'設定 Settings'!$A$5,'員工更表輸入'!$B$5:$B$39,G$60),Lists!$C$15&gt;=SUMIFS('員工更表輸入'!$D$5:$D$39,'員工更表輸入'!$A$5:$A$39,'設定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Settings'!$A$5,'員工更表輸入'!$B$5:$B$39,G$60)&gt;0,Lists!$C$15&gt;=SUMIFS('員工更表輸入'!$E$5:$E$39,'員工更表輸入'!$A$5:$A$39,'設定 Settings'!$A$5,'員工更表輸入'!$B$5:$B$39,G$60),Lists!$C$15&lt;SUMIFS('員工更表輸入'!$F$5:$F$39,'員工更表輸入'!$A$5:$A$39,'設定 Settings'!$A$5,'員工更表輸入'!$B$5:$B$39,G$60)),"Break","Work"))</f>
        <v/>
      </c>
      <c r="H74" s="24">
        <f>IF(OR(SUMIFS('員工更表輸入'!$D$5:$D$39,'員工更表輸入'!$A$5:$A$39,'設定 Settings'!$A$5,'員工更表輸入'!$B$5:$B$39,H$60)&lt;=0,Lists!$C$15&lt;SUMIFS('員工更表輸入'!$C$5:$C$39,'員工更表輸入'!$A$5:$A$39,'設定 Settings'!$A$5,'員工更表輸入'!$B$5:$B$39,H$60),Lists!$C$15&gt;=SUMIFS('員工更表輸入'!$D$5:$D$39,'員工更表輸入'!$A$5:$A$39,'設定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Settings'!$A$5,'員工更表輸入'!$B$5:$B$39,H$60)&gt;0,Lists!$C$15&gt;=SUMIFS('員工更表輸入'!$E$5:$E$39,'員工更表輸入'!$A$5:$A$39,'設定 Settings'!$A$5,'員工更表輸入'!$B$5:$B$39,H$60),Lists!$C$15&lt;SUMIFS('員工更表輸入'!$F$5:$F$39,'員工更表輸入'!$A$5:$A$39,'設定 Settings'!$A$5,'員工更表輸入'!$B$5:$B$39,H$60)),"Break","Work"))</f>
        <v/>
      </c>
    </row>
    <row r="75">
      <c r="A75" s="22" t="inlineStr">
        <is>
          <t>4:45pm-5:15pm</t>
        </is>
      </c>
      <c r="B75" s="24">
        <f>IF(OR(SUMIFS('員工更表輸入'!$D$5:$D$39,'員工更表輸入'!$A$5:$A$39,'設定 Settings'!$A$5,'員工更表輸入'!$B$5:$B$39,B$60)&lt;=0,Lists!$C$16&lt;SUMIFS('員工更表輸入'!$C$5:$C$39,'員工更表輸入'!$A$5:$A$39,'設定 Settings'!$A$5,'員工更表輸入'!$B$5:$B$39,B$60),Lists!$C$16&gt;=SUMIFS('員工更表輸入'!$D$5:$D$39,'員工更表輸入'!$A$5:$A$39,'設定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Settings'!$A$5,'員工更表輸入'!$B$5:$B$39,B$60)&gt;0,Lists!$C$16&gt;=SUMIFS('員工更表輸入'!$E$5:$E$39,'員工更表輸入'!$A$5:$A$39,'設定 Settings'!$A$5,'員工更表輸入'!$B$5:$B$39,B$60),Lists!$C$16&lt;SUMIFS('員工更表輸入'!$F$5:$F$39,'員工更表輸入'!$A$5:$A$39,'設定 Settings'!$A$5,'員工更表輸入'!$B$5:$B$39,B$60)),"Break","Work"))</f>
        <v/>
      </c>
      <c r="C75" s="24">
        <f>IF(OR(SUMIFS('員工更表輸入'!$D$5:$D$39,'員工更表輸入'!$A$5:$A$39,'設定 Settings'!$A$5,'員工更表輸入'!$B$5:$B$39,C$60)&lt;=0,Lists!$C$16&lt;SUMIFS('員工更表輸入'!$C$5:$C$39,'員工更表輸入'!$A$5:$A$39,'設定 Settings'!$A$5,'員工更表輸入'!$B$5:$B$39,C$60),Lists!$C$16&gt;=SUMIFS('員工更表輸入'!$D$5:$D$39,'員工更表輸入'!$A$5:$A$39,'設定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Settings'!$A$5,'員工更表輸入'!$B$5:$B$39,C$60)&gt;0,Lists!$C$16&gt;=SUMIFS('員工更表輸入'!$E$5:$E$39,'員工更表輸入'!$A$5:$A$39,'設定 Settings'!$A$5,'員工更表輸入'!$B$5:$B$39,C$60),Lists!$C$16&lt;SUMIFS('員工更表輸入'!$F$5:$F$39,'員工更表輸入'!$A$5:$A$39,'設定 Settings'!$A$5,'員工更表輸入'!$B$5:$B$39,C$60)),"Break","Work"))</f>
        <v/>
      </c>
      <c r="D75" s="24">
        <f>IF(OR(SUMIFS('員工更表輸入'!$D$5:$D$39,'員工更表輸入'!$A$5:$A$39,'設定 Settings'!$A$5,'員工更表輸入'!$B$5:$B$39,D$60)&lt;=0,Lists!$C$16&lt;SUMIFS('員工更表輸入'!$C$5:$C$39,'員工更表輸入'!$A$5:$A$39,'設定 Settings'!$A$5,'員工更表輸入'!$B$5:$B$39,D$60),Lists!$C$16&gt;=SUMIFS('員工更表輸入'!$D$5:$D$39,'員工更表輸入'!$A$5:$A$39,'設定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Settings'!$A$5,'員工更表輸入'!$B$5:$B$39,D$60)&gt;0,Lists!$C$16&gt;=SUMIFS('員工更表輸入'!$E$5:$E$39,'員工更表輸入'!$A$5:$A$39,'設定 Settings'!$A$5,'員工更表輸入'!$B$5:$B$39,D$60),Lists!$C$16&lt;SUMIFS('員工更表輸入'!$F$5:$F$39,'員工更表輸入'!$A$5:$A$39,'設定 Settings'!$A$5,'員工更表輸入'!$B$5:$B$39,D$60)),"Break","Work"))</f>
        <v/>
      </c>
      <c r="E75" s="24">
        <f>IF(OR(SUMIFS('員工更表輸入'!$D$5:$D$39,'員工更表輸入'!$A$5:$A$39,'設定 Settings'!$A$5,'員工更表輸入'!$B$5:$B$39,E$60)&lt;=0,Lists!$C$16&lt;SUMIFS('員工更表輸入'!$C$5:$C$39,'員工更表輸入'!$A$5:$A$39,'設定 Settings'!$A$5,'員工更表輸入'!$B$5:$B$39,E$60),Lists!$C$16&gt;=SUMIFS('員工更表輸入'!$D$5:$D$39,'員工更表輸入'!$A$5:$A$39,'設定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Settings'!$A$5,'員工更表輸入'!$B$5:$B$39,E$60)&gt;0,Lists!$C$16&gt;=SUMIFS('員工更表輸入'!$E$5:$E$39,'員工更表輸入'!$A$5:$A$39,'設定 Settings'!$A$5,'員工更表輸入'!$B$5:$B$39,E$60),Lists!$C$16&lt;SUMIFS('員工更表輸入'!$F$5:$F$39,'員工更表輸入'!$A$5:$A$39,'設定 Settings'!$A$5,'員工更表輸入'!$B$5:$B$39,E$60)),"Break","Work"))</f>
        <v/>
      </c>
      <c r="F75" s="24">
        <f>IF(OR(SUMIFS('員工更表輸入'!$D$5:$D$39,'員工更表輸入'!$A$5:$A$39,'設定 Settings'!$A$5,'員工更表輸入'!$B$5:$B$39,F$60)&lt;=0,Lists!$C$16&lt;SUMIFS('員工更表輸入'!$C$5:$C$39,'員工更表輸入'!$A$5:$A$39,'設定 Settings'!$A$5,'員工更表輸入'!$B$5:$B$39,F$60),Lists!$C$16&gt;=SUMIFS('員工更表輸入'!$D$5:$D$39,'員工更表輸入'!$A$5:$A$39,'設定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Settings'!$A$5,'員工更表輸入'!$B$5:$B$39,F$60)&gt;0,Lists!$C$16&gt;=SUMIFS('員工更表輸入'!$E$5:$E$39,'員工更表輸入'!$A$5:$A$39,'設定 Settings'!$A$5,'員工更表輸入'!$B$5:$B$39,F$60),Lists!$C$16&lt;SUMIFS('員工更表輸入'!$F$5:$F$39,'員工更表輸入'!$A$5:$A$39,'設定 Settings'!$A$5,'員工更表輸入'!$B$5:$B$39,F$60)),"Break","Work"))</f>
        <v/>
      </c>
      <c r="G75" s="24">
        <f>IF(OR(SUMIFS('員工更表輸入'!$D$5:$D$39,'員工更表輸入'!$A$5:$A$39,'設定 Settings'!$A$5,'員工更表輸入'!$B$5:$B$39,G$60)&lt;=0,Lists!$C$16&lt;SUMIFS('員工更表輸入'!$C$5:$C$39,'員工更表輸入'!$A$5:$A$39,'設定 Settings'!$A$5,'員工更表輸入'!$B$5:$B$39,G$60),Lists!$C$16&gt;=SUMIFS('員工更表輸入'!$D$5:$D$39,'員工更表輸入'!$A$5:$A$39,'設定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Settings'!$A$5,'員工更表輸入'!$B$5:$B$39,G$60)&gt;0,Lists!$C$16&gt;=SUMIFS('員工更表輸入'!$E$5:$E$39,'員工更表輸入'!$A$5:$A$39,'設定 Settings'!$A$5,'員工更表輸入'!$B$5:$B$39,G$60),Lists!$C$16&lt;SUMIFS('員工更表輸入'!$F$5:$F$39,'員工更表輸入'!$A$5:$A$39,'設定 Settings'!$A$5,'員工更表輸入'!$B$5:$B$39,G$60)),"Break","Work"))</f>
        <v/>
      </c>
      <c r="H75" s="24">
        <f>IF(OR(SUMIFS('員工更表輸入'!$D$5:$D$39,'員工更表輸入'!$A$5:$A$39,'設定 Settings'!$A$5,'員工更表輸入'!$B$5:$B$39,H$60)&lt;=0,Lists!$C$16&lt;SUMIFS('員工更表輸入'!$C$5:$C$39,'員工更表輸入'!$A$5:$A$39,'設定 Settings'!$A$5,'員工更表輸入'!$B$5:$B$39,H$60),Lists!$C$16&gt;=SUMIFS('員工更表輸入'!$D$5:$D$39,'員工更表輸入'!$A$5:$A$39,'設定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Settings'!$A$5,'員工更表輸入'!$B$5:$B$39,H$60)&gt;0,Lists!$C$16&gt;=SUMIFS('員工更表輸入'!$E$5:$E$39,'員工更表輸入'!$A$5:$A$39,'設定 Settings'!$A$5,'員工更表輸入'!$B$5:$B$39,H$60),Lists!$C$16&lt;SUMIFS('員工更表輸入'!$F$5:$F$39,'員工更表輸入'!$A$5:$A$39,'設定 Settings'!$A$5,'員工更表輸入'!$B$5:$B$39,H$60)),"Break","Work"))</f>
        <v/>
      </c>
    </row>
    <row r="76">
      <c r="A76" s="22" t="inlineStr">
        <is>
          <t>5:15pm-5:45pm</t>
        </is>
      </c>
      <c r="B76" s="24">
        <f>IF(OR(SUMIFS('員工更表輸入'!$D$5:$D$39,'員工更表輸入'!$A$5:$A$39,'設定 Settings'!$A$5,'員工更表輸入'!$B$5:$B$39,B$60)&lt;=0,Lists!$C$17&lt;SUMIFS('員工更表輸入'!$C$5:$C$39,'員工更表輸入'!$A$5:$A$39,'設定 Settings'!$A$5,'員工更表輸入'!$B$5:$B$39,B$60),Lists!$C$17&gt;=SUMIFS('員工更表輸入'!$D$5:$D$39,'員工更表輸入'!$A$5:$A$39,'設定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Settings'!$A$5,'員工更表輸入'!$B$5:$B$39,B$60)&gt;0,Lists!$C$17&gt;=SUMIFS('員工更表輸入'!$E$5:$E$39,'員工更表輸入'!$A$5:$A$39,'設定 Settings'!$A$5,'員工更表輸入'!$B$5:$B$39,B$60),Lists!$C$17&lt;SUMIFS('員工更表輸入'!$F$5:$F$39,'員工更表輸入'!$A$5:$A$39,'設定 Settings'!$A$5,'員工更表輸入'!$B$5:$B$39,B$60)),"Break","Work"))</f>
        <v/>
      </c>
      <c r="C76" s="24">
        <f>IF(OR(SUMIFS('員工更表輸入'!$D$5:$D$39,'員工更表輸入'!$A$5:$A$39,'設定 Settings'!$A$5,'員工更表輸入'!$B$5:$B$39,C$60)&lt;=0,Lists!$C$17&lt;SUMIFS('員工更表輸入'!$C$5:$C$39,'員工更表輸入'!$A$5:$A$39,'設定 Settings'!$A$5,'員工更表輸入'!$B$5:$B$39,C$60),Lists!$C$17&gt;=SUMIFS('員工更表輸入'!$D$5:$D$39,'員工更表輸入'!$A$5:$A$39,'設定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Settings'!$A$5,'員工更表輸入'!$B$5:$B$39,C$60)&gt;0,Lists!$C$17&gt;=SUMIFS('員工更表輸入'!$E$5:$E$39,'員工更表輸入'!$A$5:$A$39,'設定 Settings'!$A$5,'員工更表輸入'!$B$5:$B$39,C$60),Lists!$C$17&lt;SUMIFS('員工更表輸入'!$F$5:$F$39,'員工更表輸入'!$A$5:$A$39,'設定 Settings'!$A$5,'員工更表輸入'!$B$5:$B$39,C$60)),"Break","Work"))</f>
        <v/>
      </c>
      <c r="D76" s="24">
        <f>IF(OR(SUMIFS('員工更表輸入'!$D$5:$D$39,'員工更表輸入'!$A$5:$A$39,'設定 Settings'!$A$5,'員工更表輸入'!$B$5:$B$39,D$60)&lt;=0,Lists!$C$17&lt;SUMIFS('員工更表輸入'!$C$5:$C$39,'員工更表輸入'!$A$5:$A$39,'設定 Settings'!$A$5,'員工更表輸入'!$B$5:$B$39,D$60),Lists!$C$17&gt;=SUMIFS('員工更表輸入'!$D$5:$D$39,'員工更表輸入'!$A$5:$A$39,'設定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Settings'!$A$5,'員工更表輸入'!$B$5:$B$39,D$60)&gt;0,Lists!$C$17&gt;=SUMIFS('員工更表輸入'!$E$5:$E$39,'員工更表輸入'!$A$5:$A$39,'設定 Settings'!$A$5,'員工更表輸入'!$B$5:$B$39,D$60),Lists!$C$17&lt;SUMIFS('員工更表輸入'!$F$5:$F$39,'員工更表輸入'!$A$5:$A$39,'設定 Settings'!$A$5,'員工更表輸入'!$B$5:$B$39,D$60)),"Break","Work"))</f>
        <v/>
      </c>
      <c r="E76" s="24">
        <f>IF(OR(SUMIFS('員工更表輸入'!$D$5:$D$39,'員工更表輸入'!$A$5:$A$39,'設定 Settings'!$A$5,'員工更表輸入'!$B$5:$B$39,E$60)&lt;=0,Lists!$C$17&lt;SUMIFS('員工更表輸入'!$C$5:$C$39,'員工更表輸入'!$A$5:$A$39,'設定 Settings'!$A$5,'員工更表輸入'!$B$5:$B$39,E$60),Lists!$C$17&gt;=SUMIFS('員工更表輸入'!$D$5:$D$39,'員工更表輸入'!$A$5:$A$39,'設定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Settings'!$A$5,'員工更表輸入'!$B$5:$B$39,E$60)&gt;0,Lists!$C$17&gt;=SUMIFS('員工更表輸入'!$E$5:$E$39,'員工更表輸入'!$A$5:$A$39,'設定 Settings'!$A$5,'員工更表輸入'!$B$5:$B$39,E$60),Lists!$C$17&lt;SUMIFS('員工更表輸入'!$F$5:$F$39,'員工更表輸入'!$A$5:$A$39,'設定 Settings'!$A$5,'員工更表輸入'!$B$5:$B$39,E$60)),"Break","Work"))</f>
        <v/>
      </c>
      <c r="F76" s="24">
        <f>IF(OR(SUMIFS('員工更表輸入'!$D$5:$D$39,'員工更表輸入'!$A$5:$A$39,'設定 Settings'!$A$5,'員工更表輸入'!$B$5:$B$39,F$60)&lt;=0,Lists!$C$17&lt;SUMIFS('員工更表輸入'!$C$5:$C$39,'員工更表輸入'!$A$5:$A$39,'設定 Settings'!$A$5,'員工更表輸入'!$B$5:$B$39,F$60),Lists!$C$17&gt;=SUMIFS('員工更表輸入'!$D$5:$D$39,'員工更表輸入'!$A$5:$A$39,'設定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Settings'!$A$5,'員工更表輸入'!$B$5:$B$39,F$60)&gt;0,Lists!$C$17&gt;=SUMIFS('員工更表輸入'!$E$5:$E$39,'員工更表輸入'!$A$5:$A$39,'設定 Settings'!$A$5,'員工更表輸入'!$B$5:$B$39,F$60),Lists!$C$17&lt;SUMIFS('員工更表輸入'!$F$5:$F$39,'員工更表輸入'!$A$5:$A$39,'設定 Settings'!$A$5,'員工更表輸入'!$B$5:$B$39,F$60)),"Break","Work"))</f>
        <v/>
      </c>
      <c r="G76" s="24">
        <f>IF(OR(SUMIFS('員工更表輸入'!$D$5:$D$39,'員工更表輸入'!$A$5:$A$39,'設定 Settings'!$A$5,'員工更表輸入'!$B$5:$B$39,G$60)&lt;=0,Lists!$C$17&lt;SUMIFS('員工更表輸入'!$C$5:$C$39,'員工更表輸入'!$A$5:$A$39,'設定 Settings'!$A$5,'員工更表輸入'!$B$5:$B$39,G$60),Lists!$C$17&gt;=SUMIFS('員工更表輸入'!$D$5:$D$39,'員工更表輸入'!$A$5:$A$39,'設定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Settings'!$A$5,'員工更表輸入'!$B$5:$B$39,G$60)&gt;0,Lists!$C$17&gt;=SUMIFS('員工更表輸入'!$E$5:$E$39,'員工更表輸入'!$A$5:$A$39,'設定 Settings'!$A$5,'員工更表輸入'!$B$5:$B$39,G$60),Lists!$C$17&lt;SUMIFS('員工更表輸入'!$F$5:$F$39,'員工更表輸入'!$A$5:$A$39,'設定 Settings'!$A$5,'員工更表輸入'!$B$5:$B$39,G$60)),"Break","Work"))</f>
        <v/>
      </c>
      <c r="H76" s="24">
        <f>IF(OR(SUMIFS('員工更表輸入'!$D$5:$D$39,'員工更表輸入'!$A$5:$A$39,'設定 Settings'!$A$5,'員工更表輸入'!$B$5:$B$39,H$60)&lt;=0,Lists!$C$17&lt;SUMIFS('員工更表輸入'!$C$5:$C$39,'員工更表輸入'!$A$5:$A$39,'設定 Settings'!$A$5,'員工更表輸入'!$B$5:$B$39,H$60),Lists!$C$17&gt;=SUMIFS('員工更表輸入'!$D$5:$D$39,'員工更表輸入'!$A$5:$A$39,'設定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Settings'!$A$5,'員工更表輸入'!$B$5:$B$39,H$60)&gt;0,Lists!$C$17&gt;=SUMIFS('員工更表輸入'!$E$5:$E$39,'員工更表輸入'!$A$5:$A$39,'設定 Settings'!$A$5,'員工更表輸入'!$B$5:$B$39,H$60),Lists!$C$17&lt;SUMIFS('員工更表輸入'!$F$5:$F$39,'員工更表輸入'!$A$5:$A$39,'設定 Settings'!$A$5,'員工更表輸入'!$B$5:$B$39,H$60)),"Break","Work"))</f>
        <v/>
      </c>
    </row>
    <row r="77">
      <c r="A77" s="22" t="inlineStr">
        <is>
          <t>5:45pm-6:15pm</t>
        </is>
      </c>
      <c r="B77" s="24">
        <f>IF(OR(SUMIFS('員工更表輸入'!$D$5:$D$39,'員工更表輸入'!$A$5:$A$39,'設定 Settings'!$A$5,'員工更表輸入'!$B$5:$B$39,B$60)&lt;=0,Lists!$C$18&lt;SUMIFS('員工更表輸入'!$C$5:$C$39,'員工更表輸入'!$A$5:$A$39,'設定 Settings'!$A$5,'員工更表輸入'!$B$5:$B$39,B$60),Lists!$C$18&gt;=SUMIFS('員工更表輸入'!$D$5:$D$39,'員工更表輸入'!$A$5:$A$39,'設定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Settings'!$A$5,'員工更表輸入'!$B$5:$B$39,B$60)&gt;0,Lists!$C$18&gt;=SUMIFS('員工更表輸入'!$E$5:$E$39,'員工更表輸入'!$A$5:$A$39,'設定 Settings'!$A$5,'員工更表輸入'!$B$5:$B$39,B$60),Lists!$C$18&lt;SUMIFS('員工更表輸入'!$F$5:$F$39,'員工更表輸入'!$A$5:$A$39,'設定 Settings'!$A$5,'員工更表輸入'!$B$5:$B$39,B$60)),"Break","Work"))</f>
        <v/>
      </c>
      <c r="C77" s="24">
        <f>IF(OR(SUMIFS('員工更表輸入'!$D$5:$D$39,'員工更表輸入'!$A$5:$A$39,'設定 Settings'!$A$5,'員工更表輸入'!$B$5:$B$39,C$60)&lt;=0,Lists!$C$18&lt;SUMIFS('員工更表輸入'!$C$5:$C$39,'員工更表輸入'!$A$5:$A$39,'設定 Settings'!$A$5,'員工更表輸入'!$B$5:$B$39,C$60),Lists!$C$18&gt;=SUMIFS('員工更表輸入'!$D$5:$D$39,'員工更表輸入'!$A$5:$A$39,'設定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Settings'!$A$5,'員工更表輸入'!$B$5:$B$39,C$60)&gt;0,Lists!$C$18&gt;=SUMIFS('員工更表輸入'!$E$5:$E$39,'員工更表輸入'!$A$5:$A$39,'設定 Settings'!$A$5,'員工更表輸入'!$B$5:$B$39,C$60),Lists!$C$18&lt;SUMIFS('員工更表輸入'!$F$5:$F$39,'員工更表輸入'!$A$5:$A$39,'設定 Settings'!$A$5,'員工更表輸入'!$B$5:$B$39,C$60)),"Break","Work"))</f>
        <v/>
      </c>
      <c r="D77" s="24">
        <f>IF(OR(SUMIFS('員工更表輸入'!$D$5:$D$39,'員工更表輸入'!$A$5:$A$39,'設定 Settings'!$A$5,'員工更表輸入'!$B$5:$B$39,D$60)&lt;=0,Lists!$C$18&lt;SUMIFS('員工更表輸入'!$C$5:$C$39,'員工更表輸入'!$A$5:$A$39,'設定 Settings'!$A$5,'員工更表輸入'!$B$5:$B$39,D$60),Lists!$C$18&gt;=SUMIFS('員工更表輸入'!$D$5:$D$39,'員工更表輸入'!$A$5:$A$39,'設定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Settings'!$A$5,'員工更表輸入'!$B$5:$B$39,D$60)&gt;0,Lists!$C$18&gt;=SUMIFS('員工更表輸入'!$E$5:$E$39,'員工更表輸入'!$A$5:$A$39,'設定 Settings'!$A$5,'員工更表輸入'!$B$5:$B$39,D$60),Lists!$C$18&lt;SUMIFS('員工更表輸入'!$F$5:$F$39,'員工更表輸入'!$A$5:$A$39,'設定 Settings'!$A$5,'員工更表輸入'!$B$5:$B$39,D$60)),"Break","Work"))</f>
        <v/>
      </c>
      <c r="E77" s="24">
        <f>IF(OR(SUMIFS('員工更表輸入'!$D$5:$D$39,'員工更表輸入'!$A$5:$A$39,'設定 Settings'!$A$5,'員工更表輸入'!$B$5:$B$39,E$60)&lt;=0,Lists!$C$18&lt;SUMIFS('員工更表輸入'!$C$5:$C$39,'員工更表輸入'!$A$5:$A$39,'設定 Settings'!$A$5,'員工更表輸入'!$B$5:$B$39,E$60),Lists!$C$18&gt;=SUMIFS('員工更表輸入'!$D$5:$D$39,'員工更表輸入'!$A$5:$A$39,'設定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Settings'!$A$5,'員工更表輸入'!$B$5:$B$39,E$60)&gt;0,Lists!$C$18&gt;=SUMIFS('員工更表輸入'!$E$5:$E$39,'員工更表輸入'!$A$5:$A$39,'設定 Settings'!$A$5,'員工更表輸入'!$B$5:$B$39,E$60),Lists!$C$18&lt;SUMIFS('員工更表輸入'!$F$5:$F$39,'員工更表輸入'!$A$5:$A$39,'設定 Settings'!$A$5,'員工更表輸入'!$B$5:$B$39,E$60)),"Break","Work"))</f>
        <v/>
      </c>
      <c r="F77" s="24">
        <f>IF(OR(SUMIFS('員工更表輸入'!$D$5:$D$39,'員工更表輸入'!$A$5:$A$39,'設定 Settings'!$A$5,'員工更表輸入'!$B$5:$B$39,F$60)&lt;=0,Lists!$C$18&lt;SUMIFS('員工更表輸入'!$C$5:$C$39,'員工更表輸入'!$A$5:$A$39,'設定 Settings'!$A$5,'員工更表輸入'!$B$5:$B$39,F$60),Lists!$C$18&gt;=SUMIFS('員工更表輸入'!$D$5:$D$39,'員工更表輸入'!$A$5:$A$39,'設定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Settings'!$A$5,'員工更表輸入'!$B$5:$B$39,F$60)&gt;0,Lists!$C$18&gt;=SUMIFS('員工更表輸入'!$E$5:$E$39,'員工更表輸入'!$A$5:$A$39,'設定 Settings'!$A$5,'員工更表輸入'!$B$5:$B$39,F$60),Lists!$C$18&lt;SUMIFS('員工更表輸入'!$F$5:$F$39,'員工更表輸入'!$A$5:$A$39,'設定 Settings'!$A$5,'員工更表輸入'!$B$5:$B$39,F$60)),"Break","Work"))</f>
        <v/>
      </c>
      <c r="G77" s="24">
        <f>IF(OR(SUMIFS('員工更表輸入'!$D$5:$D$39,'員工更表輸入'!$A$5:$A$39,'設定 Settings'!$A$5,'員工更表輸入'!$B$5:$B$39,G$60)&lt;=0,Lists!$C$18&lt;SUMIFS('員工更表輸入'!$C$5:$C$39,'員工更表輸入'!$A$5:$A$39,'設定 Settings'!$A$5,'員工更表輸入'!$B$5:$B$39,G$60),Lists!$C$18&gt;=SUMIFS('員工更表輸入'!$D$5:$D$39,'員工更表輸入'!$A$5:$A$39,'設定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Settings'!$A$5,'員工更表輸入'!$B$5:$B$39,G$60)&gt;0,Lists!$C$18&gt;=SUMIFS('員工更表輸入'!$E$5:$E$39,'員工更表輸入'!$A$5:$A$39,'設定 Settings'!$A$5,'員工更表輸入'!$B$5:$B$39,G$60),Lists!$C$18&lt;SUMIFS('員工更表輸入'!$F$5:$F$39,'員工更表輸入'!$A$5:$A$39,'設定 Settings'!$A$5,'員工更表輸入'!$B$5:$B$39,G$60)),"Break","Work"))</f>
        <v/>
      </c>
      <c r="H77" s="24">
        <f>IF(OR(SUMIFS('員工更表輸入'!$D$5:$D$39,'員工更表輸入'!$A$5:$A$39,'設定 Settings'!$A$5,'員工更表輸入'!$B$5:$B$39,H$60)&lt;=0,Lists!$C$18&lt;SUMIFS('員工更表輸入'!$C$5:$C$39,'員工更表輸入'!$A$5:$A$39,'設定 Settings'!$A$5,'員工更表輸入'!$B$5:$B$39,H$60),Lists!$C$18&gt;=SUMIFS('員工更表輸入'!$D$5:$D$39,'員工更表輸入'!$A$5:$A$39,'設定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Settings'!$A$5,'員工更表輸入'!$B$5:$B$39,H$60)&gt;0,Lists!$C$18&gt;=SUMIFS('員工更表輸入'!$E$5:$E$39,'員工更表輸入'!$A$5:$A$39,'設定 Settings'!$A$5,'員工更表輸入'!$B$5:$B$39,H$60),Lists!$C$18&lt;SUMIFS('員工更表輸入'!$F$5:$F$39,'員工更表輸入'!$A$5:$A$39,'設定 Settings'!$A$5,'員工更表輸入'!$B$5:$B$39,H$60)),"Break","Work"))</f>
        <v/>
      </c>
    </row>
    <row r="78">
      <c r="A78" s="22" t="inlineStr">
        <is>
          <t>6:15pm-6:45pm</t>
        </is>
      </c>
      <c r="B78" s="24">
        <f>IF(OR(SUMIFS('員工更表輸入'!$D$5:$D$39,'員工更表輸入'!$A$5:$A$39,'設定 Settings'!$A$5,'員工更表輸入'!$B$5:$B$39,B$60)&lt;=0,Lists!$C$19&lt;SUMIFS('員工更表輸入'!$C$5:$C$39,'員工更表輸入'!$A$5:$A$39,'設定 Settings'!$A$5,'員工更表輸入'!$B$5:$B$39,B$60),Lists!$C$19&gt;=SUMIFS('員工更表輸入'!$D$5:$D$39,'員工更表輸入'!$A$5:$A$39,'設定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Settings'!$A$5,'員工更表輸入'!$B$5:$B$39,B$60)&gt;0,Lists!$C$19&gt;=SUMIFS('員工更表輸入'!$E$5:$E$39,'員工更表輸入'!$A$5:$A$39,'設定 Settings'!$A$5,'員工更表輸入'!$B$5:$B$39,B$60),Lists!$C$19&lt;SUMIFS('員工更表輸入'!$F$5:$F$39,'員工更表輸入'!$A$5:$A$39,'設定 Settings'!$A$5,'員工更表輸入'!$B$5:$B$39,B$60)),"Break","Work"))</f>
        <v/>
      </c>
      <c r="C78" s="24">
        <f>IF(OR(SUMIFS('員工更表輸入'!$D$5:$D$39,'員工更表輸入'!$A$5:$A$39,'設定 Settings'!$A$5,'員工更表輸入'!$B$5:$B$39,C$60)&lt;=0,Lists!$C$19&lt;SUMIFS('員工更表輸入'!$C$5:$C$39,'員工更表輸入'!$A$5:$A$39,'設定 Settings'!$A$5,'員工更表輸入'!$B$5:$B$39,C$60),Lists!$C$19&gt;=SUMIFS('員工更表輸入'!$D$5:$D$39,'員工更表輸入'!$A$5:$A$39,'設定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Settings'!$A$5,'員工更表輸入'!$B$5:$B$39,C$60)&gt;0,Lists!$C$19&gt;=SUMIFS('員工更表輸入'!$E$5:$E$39,'員工更表輸入'!$A$5:$A$39,'設定 Settings'!$A$5,'員工更表輸入'!$B$5:$B$39,C$60),Lists!$C$19&lt;SUMIFS('員工更表輸入'!$F$5:$F$39,'員工更表輸入'!$A$5:$A$39,'設定 Settings'!$A$5,'員工更表輸入'!$B$5:$B$39,C$60)),"Break","Work"))</f>
        <v/>
      </c>
      <c r="D78" s="24">
        <f>IF(OR(SUMIFS('員工更表輸入'!$D$5:$D$39,'員工更表輸入'!$A$5:$A$39,'設定 Settings'!$A$5,'員工更表輸入'!$B$5:$B$39,D$60)&lt;=0,Lists!$C$19&lt;SUMIFS('員工更表輸入'!$C$5:$C$39,'員工更表輸入'!$A$5:$A$39,'設定 Settings'!$A$5,'員工更表輸入'!$B$5:$B$39,D$60),Lists!$C$19&gt;=SUMIFS('員工更表輸入'!$D$5:$D$39,'員工更表輸入'!$A$5:$A$39,'設定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Settings'!$A$5,'員工更表輸入'!$B$5:$B$39,D$60)&gt;0,Lists!$C$19&gt;=SUMIFS('員工更表輸入'!$E$5:$E$39,'員工更表輸入'!$A$5:$A$39,'設定 Settings'!$A$5,'員工更表輸入'!$B$5:$B$39,D$60),Lists!$C$19&lt;SUMIFS('員工更表輸入'!$F$5:$F$39,'員工更表輸入'!$A$5:$A$39,'設定 Settings'!$A$5,'員工更表輸入'!$B$5:$B$39,D$60)),"Break","Work"))</f>
        <v/>
      </c>
      <c r="E78" s="24">
        <f>IF(OR(SUMIFS('員工更表輸入'!$D$5:$D$39,'員工更表輸入'!$A$5:$A$39,'設定 Settings'!$A$5,'員工更表輸入'!$B$5:$B$39,E$60)&lt;=0,Lists!$C$19&lt;SUMIFS('員工更表輸入'!$C$5:$C$39,'員工更表輸入'!$A$5:$A$39,'設定 Settings'!$A$5,'員工更表輸入'!$B$5:$B$39,E$60),Lists!$C$19&gt;=SUMIFS('員工更表輸入'!$D$5:$D$39,'員工更表輸入'!$A$5:$A$39,'設定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Settings'!$A$5,'員工更表輸入'!$B$5:$B$39,E$60)&gt;0,Lists!$C$19&gt;=SUMIFS('員工更表輸入'!$E$5:$E$39,'員工更表輸入'!$A$5:$A$39,'設定 Settings'!$A$5,'員工更表輸入'!$B$5:$B$39,E$60),Lists!$C$19&lt;SUMIFS('員工更表輸入'!$F$5:$F$39,'員工更表輸入'!$A$5:$A$39,'設定 Settings'!$A$5,'員工更表輸入'!$B$5:$B$39,E$60)),"Break","Work"))</f>
        <v/>
      </c>
      <c r="F78" s="24">
        <f>IF(OR(SUMIFS('員工更表輸入'!$D$5:$D$39,'員工更表輸入'!$A$5:$A$39,'設定 Settings'!$A$5,'員工更表輸入'!$B$5:$B$39,F$60)&lt;=0,Lists!$C$19&lt;SUMIFS('員工更表輸入'!$C$5:$C$39,'員工更表輸入'!$A$5:$A$39,'設定 Settings'!$A$5,'員工更表輸入'!$B$5:$B$39,F$60),Lists!$C$19&gt;=SUMIFS('員工更表輸入'!$D$5:$D$39,'員工更表輸入'!$A$5:$A$39,'設定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Settings'!$A$5,'員工更表輸入'!$B$5:$B$39,F$60)&gt;0,Lists!$C$19&gt;=SUMIFS('員工更表輸入'!$E$5:$E$39,'員工更表輸入'!$A$5:$A$39,'設定 Settings'!$A$5,'員工更表輸入'!$B$5:$B$39,F$60),Lists!$C$19&lt;SUMIFS('員工更表輸入'!$F$5:$F$39,'員工更表輸入'!$A$5:$A$39,'設定 Settings'!$A$5,'員工更表輸入'!$B$5:$B$39,F$60)),"Break","Work"))</f>
        <v/>
      </c>
      <c r="G78" s="24">
        <f>IF(OR(SUMIFS('員工更表輸入'!$D$5:$D$39,'員工更表輸入'!$A$5:$A$39,'設定 Settings'!$A$5,'員工更表輸入'!$B$5:$B$39,G$60)&lt;=0,Lists!$C$19&lt;SUMIFS('員工更表輸入'!$C$5:$C$39,'員工更表輸入'!$A$5:$A$39,'設定 Settings'!$A$5,'員工更表輸入'!$B$5:$B$39,G$60),Lists!$C$19&gt;=SUMIFS('員工更表輸入'!$D$5:$D$39,'員工更表輸入'!$A$5:$A$39,'設定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Settings'!$A$5,'員工更表輸入'!$B$5:$B$39,G$60)&gt;0,Lists!$C$19&gt;=SUMIFS('員工更表輸入'!$E$5:$E$39,'員工更表輸入'!$A$5:$A$39,'設定 Settings'!$A$5,'員工更表輸入'!$B$5:$B$39,G$60),Lists!$C$19&lt;SUMIFS('員工更表輸入'!$F$5:$F$39,'員工更表輸入'!$A$5:$A$39,'設定 Settings'!$A$5,'員工更表輸入'!$B$5:$B$39,G$60)),"Break","Work"))</f>
        <v/>
      </c>
      <c r="H78" s="24">
        <f>IF(OR(SUMIFS('員工更表輸入'!$D$5:$D$39,'員工更表輸入'!$A$5:$A$39,'設定 Settings'!$A$5,'員工更表輸入'!$B$5:$B$39,H$60)&lt;=0,Lists!$C$19&lt;SUMIFS('員工更表輸入'!$C$5:$C$39,'員工更表輸入'!$A$5:$A$39,'設定 Settings'!$A$5,'員工更表輸入'!$B$5:$B$39,H$60),Lists!$C$19&gt;=SUMIFS('員工更表輸入'!$D$5:$D$39,'員工更表輸入'!$A$5:$A$39,'設定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Settings'!$A$5,'員工更表輸入'!$B$5:$B$39,H$60)&gt;0,Lists!$C$19&gt;=SUMIFS('員工更表輸入'!$E$5:$E$39,'員工更表輸入'!$A$5:$A$39,'設定 Settings'!$A$5,'員工更表輸入'!$B$5:$B$39,H$60),Lists!$C$19&lt;SUMIFS('員工更表輸入'!$F$5:$F$39,'員工更表輸入'!$A$5:$A$39,'設定 Settings'!$A$5,'員工更表輸入'!$B$5:$B$39,H$60)),"Break","Work"))</f>
        <v/>
      </c>
    </row>
    <row r="79">
      <c r="A79" s="22" t="inlineStr">
        <is>
          <t>6:45pm-7:15pm</t>
        </is>
      </c>
      <c r="B79" s="24">
        <f>IF(OR(SUMIFS('員工更表輸入'!$D$5:$D$39,'員工更表輸入'!$A$5:$A$39,'設定 Settings'!$A$5,'員工更表輸入'!$B$5:$B$39,B$60)&lt;=0,Lists!$C$20&lt;SUMIFS('員工更表輸入'!$C$5:$C$39,'員工更表輸入'!$A$5:$A$39,'設定 Settings'!$A$5,'員工更表輸入'!$B$5:$B$39,B$60),Lists!$C$20&gt;=SUMIFS('員工更表輸入'!$D$5:$D$39,'員工更表輸入'!$A$5:$A$39,'設定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Settings'!$A$5,'員工更表輸入'!$B$5:$B$39,B$60)&gt;0,Lists!$C$20&gt;=SUMIFS('員工更表輸入'!$E$5:$E$39,'員工更表輸入'!$A$5:$A$39,'設定 Settings'!$A$5,'員工更表輸入'!$B$5:$B$39,B$60),Lists!$C$20&lt;SUMIFS('員工更表輸入'!$F$5:$F$39,'員工更表輸入'!$A$5:$A$39,'設定 Settings'!$A$5,'員工更表輸入'!$B$5:$B$39,B$60)),"Break","Work"))</f>
        <v/>
      </c>
      <c r="C79" s="24">
        <f>IF(OR(SUMIFS('員工更表輸入'!$D$5:$D$39,'員工更表輸入'!$A$5:$A$39,'設定 Settings'!$A$5,'員工更表輸入'!$B$5:$B$39,C$60)&lt;=0,Lists!$C$20&lt;SUMIFS('員工更表輸入'!$C$5:$C$39,'員工更表輸入'!$A$5:$A$39,'設定 Settings'!$A$5,'員工更表輸入'!$B$5:$B$39,C$60),Lists!$C$20&gt;=SUMIFS('員工更表輸入'!$D$5:$D$39,'員工更表輸入'!$A$5:$A$39,'設定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Settings'!$A$5,'員工更表輸入'!$B$5:$B$39,C$60)&gt;0,Lists!$C$20&gt;=SUMIFS('員工更表輸入'!$E$5:$E$39,'員工更表輸入'!$A$5:$A$39,'設定 Settings'!$A$5,'員工更表輸入'!$B$5:$B$39,C$60),Lists!$C$20&lt;SUMIFS('員工更表輸入'!$F$5:$F$39,'員工更表輸入'!$A$5:$A$39,'設定 Settings'!$A$5,'員工更表輸入'!$B$5:$B$39,C$60)),"Break","Work"))</f>
        <v/>
      </c>
      <c r="D79" s="24">
        <f>IF(OR(SUMIFS('員工更表輸入'!$D$5:$D$39,'員工更表輸入'!$A$5:$A$39,'設定 Settings'!$A$5,'員工更表輸入'!$B$5:$B$39,D$60)&lt;=0,Lists!$C$20&lt;SUMIFS('員工更表輸入'!$C$5:$C$39,'員工更表輸入'!$A$5:$A$39,'設定 Settings'!$A$5,'員工更表輸入'!$B$5:$B$39,D$60),Lists!$C$20&gt;=SUMIFS('員工更表輸入'!$D$5:$D$39,'員工更表輸入'!$A$5:$A$39,'設定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Settings'!$A$5,'員工更表輸入'!$B$5:$B$39,D$60)&gt;0,Lists!$C$20&gt;=SUMIFS('員工更表輸入'!$E$5:$E$39,'員工更表輸入'!$A$5:$A$39,'設定 Settings'!$A$5,'員工更表輸入'!$B$5:$B$39,D$60),Lists!$C$20&lt;SUMIFS('員工更表輸入'!$F$5:$F$39,'員工更表輸入'!$A$5:$A$39,'設定 Settings'!$A$5,'員工更表輸入'!$B$5:$B$39,D$60)),"Break","Work"))</f>
        <v/>
      </c>
      <c r="E79" s="24">
        <f>IF(OR(SUMIFS('員工更表輸入'!$D$5:$D$39,'員工更表輸入'!$A$5:$A$39,'設定 Settings'!$A$5,'員工更表輸入'!$B$5:$B$39,E$60)&lt;=0,Lists!$C$20&lt;SUMIFS('員工更表輸入'!$C$5:$C$39,'員工更表輸入'!$A$5:$A$39,'設定 Settings'!$A$5,'員工更表輸入'!$B$5:$B$39,E$60),Lists!$C$20&gt;=SUMIFS('員工更表輸入'!$D$5:$D$39,'員工更表輸入'!$A$5:$A$39,'設定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Settings'!$A$5,'員工更表輸入'!$B$5:$B$39,E$60)&gt;0,Lists!$C$20&gt;=SUMIFS('員工更表輸入'!$E$5:$E$39,'員工更表輸入'!$A$5:$A$39,'設定 Settings'!$A$5,'員工更表輸入'!$B$5:$B$39,E$60),Lists!$C$20&lt;SUMIFS('員工更表輸入'!$F$5:$F$39,'員工更表輸入'!$A$5:$A$39,'設定 Settings'!$A$5,'員工更表輸入'!$B$5:$B$39,E$60)),"Break","Work"))</f>
        <v/>
      </c>
      <c r="F79" s="24">
        <f>IF(OR(SUMIFS('員工更表輸入'!$D$5:$D$39,'員工更表輸入'!$A$5:$A$39,'設定 Settings'!$A$5,'員工更表輸入'!$B$5:$B$39,F$60)&lt;=0,Lists!$C$20&lt;SUMIFS('員工更表輸入'!$C$5:$C$39,'員工更表輸入'!$A$5:$A$39,'設定 Settings'!$A$5,'員工更表輸入'!$B$5:$B$39,F$60),Lists!$C$20&gt;=SUMIFS('員工更表輸入'!$D$5:$D$39,'員工更表輸入'!$A$5:$A$39,'設定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Settings'!$A$5,'員工更表輸入'!$B$5:$B$39,F$60)&gt;0,Lists!$C$20&gt;=SUMIFS('員工更表輸入'!$E$5:$E$39,'員工更表輸入'!$A$5:$A$39,'設定 Settings'!$A$5,'員工更表輸入'!$B$5:$B$39,F$60),Lists!$C$20&lt;SUMIFS('員工更表輸入'!$F$5:$F$39,'員工更表輸入'!$A$5:$A$39,'設定 Settings'!$A$5,'員工更表輸入'!$B$5:$B$39,F$60)),"Break","Work"))</f>
        <v/>
      </c>
      <c r="G79" s="24">
        <f>IF(OR(SUMIFS('員工更表輸入'!$D$5:$D$39,'員工更表輸入'!$A$5:$A$39,'設定 Settings'!$A$5,'員工更表輸入'!$B$5:$B$39,G$60)&lt;=0,Lists!$C$20&lt;SUMIFS('員工更表輸入'!$C$5:$C$39,'員工更表輸入'!$A$5:$A$39,'設定 Settings'!$A$5,'員工更表輸入'!$B$5:$B$39,G$60),Lists!$C$20&gt;=SUMIFS('員工更表輸入'!$D$5:$D$39,'員工更表輸入'!$A$5:$A$39,'設定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Settings'!$A$5,'員工更表輸入'!$B$5:$B$39,G$60)&gt;0,Lists!$C$20&gt;=SUMIFS('員工更表輸入'!$E$5:$E$39,'員工更表輸入'!$A$5:$A$39,'設定 Settings'!$A$5,'員工更表輸入'!$B$5:$B$39,G$60),Lists!$C$20&lt;SUMIFS('員工更表輸入'!$F$5:$F$39,'員工更表輸入'!$A$5:$A$39,'設定 Settings'!$A$5,'員工更表輸入'!$B$5:$B$39,G$60)),"Break","Work"))</f>
        <v/>
      </c>
      <c r="H79" s="24">
        <f>IF(OR(SUMIFS('員工更表輸入'!$D$5:$D$39,'員工更表輸入'!$A$5:$A$39,'設定 Settings'!$A$5,'員工更表輸入'!$B$5:$B$39,H$60)&lt;=0,Lists!$C$20&lt;SUMIFS('員工更表輸入'!$C$5:$C$39,'員工更表輸入'!$A$5:$A$39,'設定 Settings'!$A$5,'員工更表輸入'!$B$5:$B$39,H$60),Lists!$C$20&gt;=SUMIFS('員工更表輸入'!$D$5:$D$39,'員工更表輸入'!$A$5:$A$39,'設定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Settings'!$A$5,'員工更表輸入'!$B$5:$B$39,H$60)&gt;0,Lists!$C$20&gt;=SUMIFS('員工更表輸入'!$E$5:$E$39,'員工更表輸入'!$A$5:$A$39,'設定 Settings'!$A$5,'員工更表輸入'!$B$5:$B$39,H$60),Lists!$C$20&lt;SUMIFS('員工更表輸入'!$F$5:$F$39,'員工更表輸入'!$A$5:$A$39,'設定 Settings'!$A$5,'員工更表輸入'!$B$5:$B$39,H$60)),"Break","Work"))</f>
        <v/>
      </c>
    </row>
    <row r="80">
      <c r="A80" s="22" t="inlineStr">
        <is>
          <t>7:15pm-7:45pm</t>
        </is>
      </c>
      <c r="B80" s="24">
        <f>IF(OR(SUMIFS('員工更表輸入'!$D$5:$D$39,'員工更表輸入'!$A$5:$A$39,'設定 Settings'!$A$5,'員工更表輸入'!$B$5:$B$39,B$60)&lt;=0,Lists!$C$21&lt;SUMIFS('員工更表輸入'!$C$5:$C$39,'員工更表輸入'!$A$5:$A$39,'設定 Settings'!$A$5,'員工更表輸入'!$B$5:$B$39,B$60),Lists!$C$21&gt;=SUMIFS('員工更表輸入'!$D$5:$D$39,'員工更表輸入'!$A$5:$A$39,'設定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Settings'!$A$5,'員工更表輸入'!$B$5:$B$39,B$60)&gt;0,Lists!$C$21&gt;=SUMIFS('員工更表輸入'!$E$5:$E$39,'員工更表輸入'!$A$5:$A$39,'設定 Settings'!$A$5,'員工更表輸入'!$B$5:$B$39,B$60),Lists!$C$21&lt;SUMIFS('員工更表輸入'!$F$5:$F$39,'員工更表輸入'!$A$5:$A$39,'設定 Settings'!$A$5,'員工更表輸入'!$B$5:$B$39,B$60)),"Break","Work"))</f>
        <v/>
      </c>
      <c r="C80" s="24">
        <f>IF(OR(SUMIFS('員工更表輸入'!$D$5:$D$39,'員工更表輸入'!$A$5:$A$39,'設定 Settings'!$A$5,'員工更表輸入'!$B$5:$B$39,C$60)&lt;=0,Lists!$C$21&lt;SUMIFS('員工更表輸入'!$C$5:$C$39,'員工更表輸入'!$A$5:$A$39,'設定 Settings'!$A$5,'員工更表輸入'!$B$5:$B$39,C$60),Lists!$C$21&gt;=SUMIFS('員工更表輸入'!$D$5:$D$39,'員工更表輸入'!$A$5:$A$39,'設定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Settings'!$A$5,'員工更表輸入'!$B$5:$B$39,C$60)&gt;0,Lists!$C$21&gt;=SUMIFS('員工更表輸入'!$E$5:$E$39,'員工更表輸入'!$A$5:$A$39,'設定 Settings'!$A$5,'員工更表輸入'!$B$5:$B$39,C$60),Lists!$C$21&lt;SUMIFS('員工更表輸入'!$F$5:$F$39,'員工更表輸入'!$A$5:$A$39,'設定 Settings'!$A$5,'員工更表輸入'!$B$5:$B$39,C$60)),"Break","Work"))</f>
        <v/>
      </c>
      <c r="D80" s="24">
        <f>IF(OR(SUMIFS('員工更表輸入'!$D$5:$D$39,'員工更表輸入'!$A$5:$A$39,'設定 Settings'!$A$5,'員工更表輸入'!$B$5:$B$39,D$60)&lt;=0,Lists!$C$21&lt;SUMIFS('員工更表輸入'!$C$5:$C$39,'員工更表輸入'!$A$5:$A$39,'設定 Settings'!$A$5,'員工更表輸入'!$B$5:$B$39,D$60),Lists!$C$21&gt;=SUMIFS('員工更表輸入'!$D$5:$D$39,'員工更表輸入'!$A$5:$A$39,'設定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Settings'!$A$5,'員工更表輸入'!$B$5:$B$39,D$60)&gt;0,Lists!$C$21&gt;=SUMIFS('員工更表輸入'!$E$5:$E$39,'員工更表輸入'!$A$5:$A$39,'設定 Settings'!$A$5,'員工更表輸入'!$B$5:$B$39,D$60),Lists!$C$21&lt;SUMIFS('員工更表輸入'!$F$5:$F$39,'員工更表輸入'!$A$5:$A$39,'設定 Settings'!$A$5,'員工更表輸入'!$B$5:$B$39,D$60)),"Break","Work"))</f>
        <v/>
      </c>
      <c r="E80" s="24">
        <f>IF(OR(SUMIFS('員工更表輸入'!$D$5:$D$39,'員工更表輸入'!$A$5:$A$39,'設定 Settings'!$A$5,'員工更表輸入'!$B$5:$B$39,E$60)&lt;=0,Lists!$C$21&lt;SUMIFS('員工更表輸入'!$C$5:$C$39,'員工更表輸入'!$A$5:$A$39,'設定 Settings'!$A$5,'員工更表輸入'!$B$5:$B$39,E$60),Lists!$C$21&gt;=SUMIFS('員工更表輸入'!$D$5:$D$39,'員工更表輸入'!$A$5:$A$39,'設定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Settings'!$A$5,'員工更表輸入'!$B$5:$B$39,E$60)&gt;0,Lists!$C$21&gt;=SUMIFS('員工更表輸入'!$E$5:$E$39,'員工更表輸入'!$A$5:$A$39,'設定 Settings'!$A$5,'員工更表輸入'!$B$5:$B$39,E$60),Lists!$C$21&lt;SUMIFS('員工更表輸入'!$F$5:$F$39,'員工更表輸入'!$A$5:$A$39,'設定 Settings'!$A$5,'員工更表輸入'!$B$5:$B$39,E$60)),"Break","Work"))</f>
        <v/>
      </c>
      <c r="F80" s="24">
        <f>IF(OR(SUMIFS('員工更表輸入'!$D$5:$D$39,'員工更表輸入'!$A$5:$A$39,'設定 Settings'!$A$5,'員工更表輸入'!$B$5:$B$39,F$60)&lt;=0,Lists!$C$21&lt;SUMIFS('員工更表輸入'!$C$5:$C$39,'員工更表輸入'!$A$5:$A$39,'設定 Settings'!$A$5,'員工更表輸入'!$B$5:$B$39,F$60),Lists!$C$21&gt;=SUMIFS('員工更表輸入'!$D$5:$D$39,'員工更表輸入'!$A$5:$A$39,'設定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Settings'!$A$5,'員工更表輸入'!$B$5:$B$39,F$60)&gt;0,Lists!$C$21&gt;=SUMIFS('員工更表輸入'!$E$5:$E$39,'員工更表輸入'!$A$5:$A$39,'設定 Settings'!$A$5,'員工更表輸入'!$B$5:$B$39,F$60),Lists!$C$21&lt;SUMIFS('員工更表輸入'!$F$5:$F$39,'員工更表輸入'!$A$5:$A$39,'設定 Settings'!$A$5,'員工更表輸入'!$B$5:$B$39,F$60)),"Break","Work"))</f>
        <v/>
      </c>
      <c r="G80" s="24">
        <f>IF(OR(SUMIFS('員工更表輸入'!$D$5:$D$39,'員工更表輸入'!$A$5:$A$39,'設定 Settings'!$A$5,'員工更表輸入'!$B$5:$B$39,G$60)&lt;=0,Lists!$C$21&lt;SUMIFS('員工更表輸入'!$C$5:$C$39,'員工更表輸入'!$A$5:$A$39,'設定 Settings'!$A$5,'員工更表輸入'!$B$5:$B$39,G$60),Lists!$C$21&gt;=SUMIFS('員工更表輸入'!$D$5:$D$39,'員工更表輸入'!$A$5:$A$39,'設定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Settings'!$A$5,'員工更表輸入'!$B$5:$B$39,G$60)&gt;0,Lists!$C$21&gt;=SUMIFS('員工更表輸入'!$E$5:$E$39,'員工更表輸入'!$A$5:$A$39,'設定 Settings'!$A$5,'員工更表輸入'!$B$5:$B$39,G$60),Lists!$C$21&lt;SUMIFS('員工更表輸入'!$F$5:$F$39,'員工更表輸入'!$A$5:$A$39,'設定 Settings'!$A$5,'員工更表輸入'!$B$5:$B$39,G$60)),"Break","Work"))</f>
        <v/>
      </c>
      <c r="H80" s="24">
        <f>IF(OR(SUMIFS('員工更表輸入'!$D$5:$D$39,'員工更表輸入'!$A$5:$A$39,'設定 Settings'!$A$5,'員工更表輸入'!$B$5:$B$39,H$60)&lt;=0,Lists!$C$21&lt;SUMIFS('員工更表輸入'!$C$5:$C$39,'員工更表輸入'!$A$5:$A$39,'設定 Settings'!$A$5,'員工更表輸入'!$B$5:$B$39,H$60),Lists!$C$21&gt;=SUMIFS('員工更表輸入'!$D$5:$D$39,'員工更表輸入'!$A$5:$A$39,'設定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Settings'!$A$5,'員工更表輸入'!$B$5:$B$39,H$60)&gt;0,Lists!$C$21&gt;=SUMIFS('員工更表輸入'!$E$5:$E$39,'員工更表輸入'!$A$5:$A$39,'設定 Settings'!$A$5,'員工更表輸入'!$B$5:$B$39,H$60),Lists!$C$21&lt;SUMIFS('員工更表輸入'!$F$5:$F$39,'員工更表輸入'!$A$5:$A$39,'設定 Settings'!$A$5,'員工更表輸入'!$B$5:$B$39,H$60)),"Break","Work"))</f>
        <v/>
      </c>
    </row>
    <row r="81">
      <c r="A81" s="22" t="inlineStr">
        <is>
          <t>7:45pm-8:15pm</t>
        </is>
      </c>
      <c r="B81" s="24">
        <f>IF(OR(SUMIFS('員工更表輸入'!$D$5:$D$39,'員工更表輸入'!$A$5:$A$39,'設定 Settings'!$A$5,'員工更表輸入'!$B$5:$B$39,B$60)&lt;=0,Lists!$C$22&lt;SUMIFS('員工更表輸入'!$C$5:$C$39,'員工更表輸入'!$A$5:$A$39,'設定 Settings'!$A$5,'員工更表輸入'!$B$5:$B$39,B$60),Lists!$C$22&gt;=SUMIFS('員工更表輸入'!$D$5:$D$39,'員工更表輸入'!$A$5:$A$39,'設定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Settings'!$A$5,'員工更表輸入'!$B$5:$B$39,B$60)&gt;0,Lists!$C$22&gt;=SUMIFS('員工更表輸入'!$E$5:$E$39,'員工更表輸入'!$A$5:$A$39,'設定 Settings'!$A$5,'員工更表輸入'!$B$5:$B$39,B$60),Lists!$C$22&lt;SUMIFS('員工更表輸入'!$F$5:$F$39,'員工更表輸入'!$A$5:$A$39,'設定 Settings'!$A$5,'員工更表輸入'!$B$5:$B$39,B$60)),"Break","Work"))</f>
        <v/>
      </c>
      <c r="C81" s="24">
        <f>IF(OR(SUMIFS('員工更表輸入'!$D$5:$D$39,'員工更表輸入'!$A$5:$A$39,'設定 Settings'!$A$5,'員工更表輸入'!$B$5:$B$39,C$60)&lt;=0,Lists!$C$22&lt;SUMIFS('員工更表輸入'!$C$5:$C$39,'員工更表輸入'!$A$5:$A$39,'設定 Settings'!$A$5,'員工更表輸入'!$B$5:$B$39,C$60),Lists!$C$22&gt;=SUMIFS('員工更表輸入'!$D$5:$D$39,'員工更表輸入'!$A$5:$A$39,'設定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Settings'!$A$5,'員工更表輸入'!$B$5:$B$39,C$60)&gt;0,Lists!$C$22&gt;=SUMIFS('員工更表輸入'!$E$5:$E$39,'員工更表輸入'!$A$5:$A$39,'設定 Settings'!$A$5,'員工更表輸入'!$B$5:$B$39,C$60),Lists!$C$22&lt;SUMIFS('員工更表輸入'!$F$5:$F$39,'員工更表輸入'!$A$5:$A$39,'設定 Settings'!$A$5,'員工更表輸入'!$B$5:$B$39,C$60)),"Break","Work"))</f>
        <v/>
      </c>
      <c r="D81" s="24">
        <f>IF(OR(SUMIFS('員工更表輸入'!$D$5:$D$39,'員工更表輸入'!$A$5:$A$39,'設定 Settings'!$A$5,'員工更表輸入'!$B$5:$B$39,D$60)&lt;=0,Lists!$C$22&lt;SUMIFS('員工更表輸入'!$C$5:$C$39,'員工更表輸入'!$A$5:$A$39,'設定 Settings'!$A$5,'員工更表輸入'!$B$5:$B$39,D$60),Lists!$C$22&gt;=SUMIFS('員工更表輸入'!$D$5:$D$39,'員工更表輸入'!$A$5:$A$39,'設定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Settings'!$A$5,'員工更表輸入'!$B$5:$B$39,D$60)&gt;0,Lists!$C$22&gt;=SUMIFS('員工更表輸入'!$E$5:$E$39,'員工更表輸入'!$A$5:$A$39,'設定 Settings'!$A$5,'員工更表輸入'!$B$5:$B$39,D$60),Lists!$C$22&lt;SUMIFS('員工更表輸入'!$F$5:$F$39,'員工更表輸入'!$A$5:$A$39,'設定 Settings'!$A$5,'員工更表輸入'!$B$5:$B$39,D$60)),"Break","Work"))</f>
        <v/>
      </c>
      <c r="E81" s="24">
        <f>IF(OR(SUMIFS('員工更表輸入'!$D$5:$D$39,'員工更表輸入'!$A$5:$A$39,'設定 Settings'!$A$5,'員工更表輸入'!$B$5:$B$39,E$60)&lt;=0,Lists!$C$22&lt;SUMIFS('員工更表輸入'!$C$5:$C$39,'員工更表輸入'!$A$5:$A$39,'設定 Settings'!$A$5,'員工更表輸入'!$B$5:$B$39,E$60),Lists!$C$22&gt;=SUMIFS('員工更表輸入'!$D$5:$D$39,'員工更表輸入'!$A$5:$A$39,'設定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Settings'!$A$5,'員工更表輸入'!$B$5:$B$39,E$60)&gt;0,Lists!$C$22&gt;=SUMIFS('員工更表輸入'!$E$5:$E$39,'員工更表輸入'!$A$5:$A$39,'設定 Settings'!$A$5,'員工更表輸入'!$B$5:$B$39,E$60),Lists!$C$22&lt;SUMIFS('員工更表輸入'!$F$5:$F$39,'員工更表輸入'!$A$5:$A$39,'設定 Settings'!$A$5,'員工更表輸入'!$B$5:$B$39,E$60)),"Break","Work"))</f>
        <v/>
      </c>
      <c r="F81" s="24">
        <f>IF(OR(SUMIFS('員工更表輸入'!$D$5:$D$39,'員工更表輸入'!$A$5:$A$39,'設定 Settings'!$A$5,'員工更表輸入'!$B$5:$B$39,F$60)&lt;=0,Lists!$C$22&lt;SUMIFS('員工更表輸入'!$C$5:$C$39,'員工更表輸入'!$A$5:$A$39,'設定 Settings'!$A$5,'員工更表輸入'!$B$5:$B$39,F$60),Lists!$C$22&gt;=SUMIFS('員工更表輸入'!$D$5:$D$39,'員工更表輸入'!$A$5:$A$39,'設定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Settings'!$A$5,'員工更表輸入'!$B$5:$B$39,F$60)&gt;0,Lists!$C$22&gt;=SUMIFS('員工更表輸入'!$E$5:$E$39,'員工更表輸入'!$A$5:$A$39,'設定 Settings'!$A$5,'員工更表輸入'!$B$5:$B$39,F$60),Lists!$C$22&lt;SUMIFS('員工更表輸入'!$F$5:$F$39,'員工更表輸入'!$A$5:$A$39,'設定 Settings'!$A$5,'員工更表輸入'!$B$5:$B$39,F$60)),"Break","Work"))</f>
        <v/>
      </c>
      <c r="G81" s="24">
        <f>IF(OR(SUMIFS('員工更表輸入'!$D$5:$D$39,'員工更表輸入'!$A$5:$A$39,'設定 Settings'!$A$5,'員工更表輸入'!$B$5:$B$39,G$60)&lt;=0,Lists!$C$22&lt;SUMIFS('員工更表輸入'!$C$5:$C$39,'員工更表輸入'!$A$5:$A$39,'設定 Settings'!$A$5,'員工更表輸入'!$B$5:$B$39,G$60),Lists!$C$22&gt;=SUMIFS('員工更表輸入'!$D$5:$D$39,'員工更表輸入'!$A$5:$A$39,'設定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Settings'!$A$5,'員工更表輸入'!$B$5:$B$39,G$60)&gt;0,Lists!$C$22&gt;=SUMIFS('員工更表輸入'!$E$5:$E$39,'員工更表輸入'!$A$5:$A$39,'設定 Settings'!$A$5,'員工更表輸入'!$B$5:$B$39,G$60),Lists!$C$22&lt;SUMIFS('員工更表輸入'!$F$5:$F$39,'員工更表輸入'!$A$5:$A$39,'設定 Settings'!$A$5,'員工更表輸入'!$B$5:$B$39,G$60)),"Break","Work"))</f>
        <v/>
      </c>
      <c r="H81" s="24">
        <f>IF(OR(SUMIFS('員工更表輸入'!$D$5:$D$39,'員工更表輸入'!$A$5:$A$39,'設定 Settings'!$A$5,'員工更表輸入'!$B$5:$B$39,H$60)&lt;=0,Lists!$C$22&lt;SUMIFS('員工更表輸入'!$C$5:$C$39,'員工更表輸入'!$A$5:$A$39,'設定 Settings'!$A$5,'員工更表輸入'!$B$5:$B$39,H$60),Lists!$C$22&gt;=SUMIFS('員工更表輸入'!$D$5:$D$39,'員工更表輸入'!$A$5:$A$39,'設定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Settings'!$A$5,'員工更表輸入'!$B$5:$B$39,H$60)&gt;0,Lists!$C$22&gt;=SUMIFS('員工更表輸入'!$E$5:$E$39,'員工更表輸入'!$A$5:$A$39,'設定 Settings'!$A$5,'員工更表輸入'!$B$5:$B$39,H$60),Lists!$C$22&lt;SUMIFS('員工更表輸入'!$F$5:$F$39,'員工更表輸入'!$A$5:$A$39,'設定 Settings'!$A$5,'員工更表輸入'!$B$5:$B$39,H$60)),"Break","Work"))</f>
        <v/>
      </c>
    </row>
    <row r="82">
      <c r="A82" s="22" t="inlineStr">
        <is>
          <t>8:15pm-8:45pm</t>
        </is>
      </c>
      <c r="B82" s="24">
        <f>IF(OR(SUMIFS('員工更表輸入'!$D$5:$D$39,'員工更表輸入'!$A$5:$A$39,'設定 Settings'!$A$5,'員工更表輸入'!$B$5:$B$39,B$60)&lt;=0,Lists!$C$23&lt;SUMIFS('員工更表輸入'!$C$5:$C$39,'員工更表輸入'!$A$5:$A$39,'設定 Settings'!$A$5,'員工更表輸入'!$B$5:$B$39,B$60),Lists!$C$23&gt;=SUMIFS('員工更表輸入'!$D$5:$D$39,'員工更表輸入'!$A$5:$A$39,'設定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Settings'!$A$5,'員工更表輸入'!$B$5:$B$39,B$60)&gt;0,Lists!$C$23&gt;=SUMIFS('員工更表輸入'!$E$5:$E$39,'員工更表輸入'!$A$5:$A$39,'設定 Settings'!$A$5,'員工更表輸入'!$B$5:$B$39,B$60),Lists!$C$23&lt;SUMIFS('員工更表輸入'!$F$5:$F$39,'員工更表輸入'!$A$5:$A$39,'設定 Settings'!$A$5,'員工更表輸入'!$B$5:$B$39,B$60)),"Break","Work"))</f>
        <v/>
      </c>
      <c r="C82" s="24">
        <f>IF(OR(SUMIFS('員工更表輸入'!$D$5:$D$39,'員工更表輸入'!$A$5:$A$39,'設定 Settings'!$A$5,'員工更表輸入'!$B$5:$B$39,C$60)&lt;=0,Lists!$C$23&lt;SUMIFS('員工更表輸入'!$C$5:$C$39,'員工更表輸入'!$A$5:$A$39,'設定 Settings'!$A$5,'員工更表輸入'!$B$5:$B$39,C$60),Lists!$C$23&gt;=SUMIFS('員工更表輸入'!$D$5:$D$39,'員工更表輸入'!$A$5:$A$39,'設定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Settings'!$A$5,'員工更表輸入'!$B$5:$B$39,C$60)&gt;0,Lists!$C$23&gt;=SUMIFS('員工更表輸入'!$E$5:$E$39,'員工更表輸入'!$A$5:$A$39,'設定 Settings'!$A$5,'員工更表輸入'!$B$5:$B$39,C$60),Lists!$C$23&lt;SUMIFS('員工更表輸入'!$F$5:$F$39,'員工更表輸入'!$A$5:$A$39,'設定 Settings'!$A$5,'員工更表輸入'!$B$5:$B$39,C$60)),"Break","Work"))</f>
        <v/>
      </c>
      <c r="D82" s="24">
        <f>IF(OR(SUMIFS('員工更表輸入'!$D$5:$D$39,'員工更表輸入'!$A$5:$A$39,'設定 Settings'!$A$5,'員工更表輸入'!$B$5:$B$39,D$60)&lt;=0,Lists!$C$23&lt;SUMIFS('員工更表輸入'!$C$5:$C$39,'員工更表輸入'!$A$5:$A$39,'設定 Settings'!$A$5,'員工更表輸入'!$B$5:$B$39,D$60),Lists!$C$23&gt;=SUMIFS('員工更表輸入'!$D$5:$D$39,'員工更表輸入'!$A$5:$A$39,'設定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Settings'!$A$5,'員工更表輸入'!$B$5:$B$39,D$60)&gt;0,Lists!$C$23&gt;=SUMIFS('員工更表輸入'!$E$5:$E$39,'員工更表輸入'!$A$5:$A$39,'設定 Settings'!$A$5,'員工更表輸入'!$B$5:$B$39,D$60),Lists!$C$23&lt;SUMIFS('員工更表輸入'!$F$5:$F$39,'員工更表輸入'!$A$5:$A$39,'設定 Settings'!$A$5,'員工更表輸入'!$B$5:$B$39,D$60)),"Break","Work"))</f>
        <v/>
      </c>
      <c r="E82" s="24">
        <f>IF(OR(SUMIFS('員工更表輸入'!$D$5:$D$39,'員工更表輸入'!$A$5:$A$39,'設定 Settings'!$A$5,'員工更表輸入'!$B$5:$B$39,E$60)&lt;=0,Lists!$C$23&lt;SUMIFS('員工更表輸入'!$C$5:$C$39,'員工更表輸入'!$A$5:$A$39,'設定 Settings'!$A$5,'員工更表輸入'!$B$5:$B$39,E$60),Lists!$C$23&gt;=SUMIFS('員工更表輸入'!$D$5:$D$39,'員工更表輸入'!$A$5:$A$39,'設定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Settings'!$A$5,'員工更表輸入'!$B$5:$B$39,E$60)&gt;0,Lists!$C$23&gt;=SUMIFS('員工更表輸入'!$E$5:$E$39,'員工更表輸入'!$A$5:$A$39,'設定 Settings'!$A$5,'員工更表輸入'!$B$5:$B$39,E$60),Lists!$C$23&lt;SUMIFS('員工更表輸入'!$F$5:$F$39,'員工更表輸入'!$A$5:$A$39,'設定 Settings'!$A$5,'員工更表輸入'!$B$5:$B$39,E$60)),"Break","Work"))</f>
        <v/>
      </c>
      <c r="F82" s="24">
        <f>IF(OR(SUMIFS('員工更表輸入'!$D$5:$D$39,'員工更表輸入'!$A$5:$A$39,'設定 Settings'!$A$5,'員工更表輸入'!$B$5:$B$39,F$60)&lt;=0,Lists!$C$23&lt;SUMIFS('員工更表輸入'!$C$5:$C$39,'員工更表輸入'!$A$5:$A$39,'設定 Settings'!$A$5,'員工更表輸入'!$B$5:$B$39,F$60),Lists!$C$23&gt;=SUMIFS('員工更表輸入'!$D$5:$D$39,'員工更表輸入'!$A$5:$A$39,'設定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Settings'!$A$5,'員工更表輸入'!$B$5:$B$39,F$60)&gt;0,Lists!$C$23&gt;=SUMIFS('員工更表輸入'!$E$5:$E$39,'員工更表輸入'!$A$5:$A$39,'設定 Settings'!$A$5,'員工更表輸入'!$B$5:$B$39,F$60),Lists!$C$23&lt;SUMIFS('員工更表輸入'!$F$5:$F$39,'員工更表輸入'!$A$5:$A$39,'設定 Settings'!$A$5,'員工更表輸入'!$B$5:$B$39,F$60)),"Break","Work"))</f>
        <v/>
      </c>
      <c r="G82" s="24">
        <f>IF(OR(SUMIFS('員工更表輸入'!$D$5:$D$39,'員工更表輸入'!$A$5:$A$39,'設定 Settings'!$A$5,'員工更表輸入'!$B$5:$B$39,G$60)&lt;=0,Lists!$C$23&lt;SUMIFS('員工更表輸入'!$C$5:$C$39,'員工更表輸入'!$A$5:$A$39,'設定 Settings'!$A$5,'員工更表輸入'!$B$5:$B$39,G$60),Lists!$C$23&gt;=SUMIFS('員工更表輸入'!$D$5:$D$39,'員工更表輸入'!$A$5:$A$39,'設定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Settings'!$A$5,'員工更表輸入'!$B$5:$B$39,G$60)&gt;0,Lists!$C$23&gt;=SUMIFS('員工更表輸入'!$E$5:$E$39,'員工更表輸入'!$A$5:$A$39,'設定 Settings'!$A$5,'員工更表輸入'!$B$5:$B$39,G$60),Lists!$C$23&lt;SUMIFS('員工更表輸入'!$F$5:$F$39,'員工更表輸入'!$A$5:$A$39,'設定 Settings'!$A$5,'員工更表輸入'!$B$5:$B$39,G$60)),"Break","Work"))</f>
        <v/>
      </c>
      <c r="H82" s="24">
        <f>IF(OR(SUMIFS('員工更表輸入'!$D$5:$D$39,'員工更表輸入'!$A$5:$A$39,'設定 Settings'!$A$5,'員工更表輸入'!$B$5:$B$39,H$60)&lt;=0,Lists!$C$23&lt;SUMIFS('員工更表輸入'!$C$5:$C$39,'員工更表輸入'!$A$5:$A$39,'設定 Settings'!$A$5,'員工更表輸入'!$B$5:$B$39,H$60),Lists!$C$23&gt;=SUMIFS('員工更表輸入'!$D$5:$D$39,'員工更表輸入'!$A$5:$A$39,'設定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Settings'!$A$5,'員工更表輸入'!$B$5:$B$39,H$60)&gt;0,Lists!$C$23&gt;=SUMIFS('員工更表輸入'!$E$5:$E$39,'員工更表輸入'!$A$5:$A$39,'設定 Settings'!$A$5,'員工更表輸入'!$B$5:$B$39,H$60),Lists!$C$23&lt;SUMIFS('員工更表輸入'!$F$5:$F$39,'員工更表輸入'!$A$5:$A$39,'設定 Settings'!$A$5,'員工更表輸入'!$B$5:$B$39,H$60)),"Break","Work"))</f>
        <v/>
      </c>
    </row>
    <row r="83">
      <c r="A83" s="22" t="inlineStr">
        <is>
          <t>8:45pm-9:15pm</t>
        </is>
      </c>
      <c r="B83" s="24">
        <f>IF(OR(SUMIFS('員工更表輸入'!$D$5:$D$39,'員工更表輸入'!$A$5:$A$39,'設定 Settings'!$A$5,'員工更表輸入'!$B$5:$B$39,B$60)&lt;=0,Lists!$C$24&lt;SUMIFS('員工更表輸入'!$C$5:$C$39,'員工更表輸入'!$A$5:$A$39,'設定 Settings'!$A$5,'員工更表輸入'!$B$5:$B$39,B$60),Lists!$C$24&gt;=SUMIFS('員工更表輸入'!$D$5:$D$39,'員工更表輸入'!$A$5:$A$39,'設定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Settings'!$A$5,'員工更表輸入'!$B$5:$B$39,B$60)&gt;0,Lists!$C$24&gt;=SUMIFS('員工更表輸入'!$E$5:$E$39,'員工更表輸入'!$A$5:$A$39,'設定 Settings'!$A$5,'員工更表輸入'!$B$5:$B$39,B$60),Lists!$C$24&lt;SUMIFS('員工更表輸入'!$F$5:$F$39,'員工更表輸入'!$A$5:$A$39,'設定 Settings'!$A$5,'員工更表輸入'!$B$5:$B$39,B$60)),"Break","Work"))</f>
        <v/>
      </c>
      <c r="C83" s="24">
        <f>IF(OR(SUMIFS('員工更表輸入'!$D$5:$D$39,'員工更表輸入'!$A$5:$A$39,'設定 Settings'!$A$5,'員工更表輸入'!$B$5:$B$39,C$60)&lt;=0,Lists!$C$24&lt;SUMIFS('員工更表輸入'!$C$5:$C$39,'員工更表輸入'!$A$5:$A$39,'設定 Settings'!$A$5,'員工更表輸入'!$B$5:$B$39,C$60),Lists!$C$24&gt;=SUMIFS('員工更表輸入'!$D$5:$D$39,'員工更表輸入'!$A$5:$A$39,'設定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Settings'!$A$5,'員工更表輸入'!$B$5:$B$39,C$60)&gt;0,Lists!$C$24&gt;=SUMIFS('員工更表輸入'!$E$5:$E$39,'員工更表輸入'!$A$5:$A$39,'設定 Settings'!$A$5,'員工更表輸入'!$B$5:$B$39,C$60),Lists!$C$24&lt;SUMIFS('員工更表輸入'!$F$5:$F$39,'員工更表輸入'!$A$5:$A$39,'設定 Settings'!$A$5,'員工更表輸入'!$B$5:$B$39,C$60)),"Break","Work"))</f>
        <v/>
      </c>
      <c r="D83" s="24">
        <f>IF(OR(SUMIFS('員工更表輸入'!$D$5:$D$39,'員工更表輸入'!$A$5:$A$39,'設定 Settings'!$A$5,'員工更表輸入'!$B$5:$B$39,D$60)&lt;=0,Lists!$C$24&lt;SUMIFS('員工更表輸入'!$C$5:$C$39,'員工更表輸入'!$A$5:$A$39,'設定 Settings'!$A$5,'員工更表輸入'!$B$5:$B$39,D$60),Lists!$C$24&gt;=SUMIFS('員工更表輸入'!$D$5:$D$39,'員工更表輸入'!$A$5:$A$39,'設定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Settings'!$A$5,'員工更表輸入'!$B$5:$B$39,D$60)&gt;0,Lists!$C$24&gt;=SUMIFS('員工更表輸入'!$E$5:$E$39,'員工更表輸入'!$A$5:$A$39,'設定 Settings'!$A$5,'員工更表輸入'!$B$5:$B$39,D$60),Lists!$C$24&lt;SUMIFS('員工更表輸入'!$F$5:$F$39,'員工更表輸入'!$A$5:$A$39,'設定 Settings'!$A$5,'員工更表輸入'!$B$5:$B$39,D$60)),"Break","Work"))</f>
        <v/>
      </c>
      <c r="E83" s="24">
        <f>IF(OR(SUMIFS('員工更表輸入'!$D$5:$D$39,'員工更表輸入'!$A$5:$A$39,'設定 Settings'!$A$5,'員工更表輸入'!$B$5:$B$39,E$60)&lt;=0,Lists!$C$24&lt;SUMIFS('員工更表輸入'!$C$5:$C$39,'員工更表輸入'!$A$5:$A$39,'設定 Settings'!$A$5,'員工更表輸入'!$B$5:$B$39,E$60),Lists!$C$24&gt;=SUMIFS('員工更表輸入'!$D$5:$D$39,'員工更表輸入'!$A$5:$A$39,'設定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Settings'!$A$5,'員工更表輸入'!$B$5:$B$39,E$60)&gt;0,Lists!$C$24&gt;=SUMIFS('員工更表輸入'!$E$5:$E$39,'員工更表輸入'!$A$5:$A$39,'設定 Settings'!$A$5,'員工更表輸入'!$B$5:$B$39,E$60),Lists!$C$24&lt;SUMIFS('員工更表輸入'!$F$5:$F$39,'員工更表輸入'!$A$5:$A$39,'設定 Settings'!$A$5,'員工更表輸入'!$B$5:$B$39,E$60)),"Break","Work"))</f>
        <v/>
      </c>
      <c r="F83" s="24">
        <f>IF(OR(SUMIFS('員工更表輸入'!$D$5:$D$39,'員工更表輸入'!$A$5:$A$39,'設定 Settings'!$A$5,'員工更表輸入'!$B$5:$B$39,F$60)&lt;=0,Lists!$C$24&lt;SUMIFS('員工更表輸入'!$C$5:$C$39,'員工更表輸入'!$A$5:$A$39,'設定 Settings'!$A$5,'員工更表輸入'!$B$5:$B$39,F$60),Lists!$C$24&gt;=SUMIFS('員工更表輸入'!$D$5:$D$39,'員工更表輸入'!$A$5:$A$39,'設定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Settings'!$A$5,'員工更表輸入'!$B$5:$B$39,F$60)&gt;0,Lists!$C$24&gt;=SUMIFS('員工更表輸入'!$E$5:$E$39,'員工更表輸入'!$A$5:$A$39,'設定 Settings'!$A$5,'員工更表輸入'!$B$5:$B$39,F$60),Lists!$C$24&lt;SUMIFS('員工更表輸入'!$F$5:$F$39,'員工更表輸入'!$A$5:$A$39,'設定 Settings'!$A$5,'員工更表輸入'!$B$5:$B$39,F$60)),"Break","Work"))</f>
        <v/>
      </c>
      <c r="G83" s="24">
        <f>IF(OR(SUMIFS('員工更表輸入'!$D$5:$D$39,'員工更表輸入'!$A$5:$A$39,'設定 Settings'!$A$5,'員工更表輸入'!$B$5:$B$39,G$60)&lt;=0,Lists!$C$24&lt;SUMIFS('員工更表輸入'!$C$5:$C$39,'員工更表輸入'!$A$5:$A$39,'設定 Settings'!$A$5,'員工更表輸入'!$B$5:$B$39,G$60),Lists!$C$24&gt;=SUMIFS('員工更表輸入'!$D$5:$D$39,'員工更表輸入'!$A$5:$A$39,'設定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Settings'!$A$5,'員工更表輸入'!$B$5:$B$39,G$60)&gt;0,Lists!$C$24&gt;=SUMIFS('員工更表輸入'!$E$5:$E$39,'員工更表輸入'!$A$5:$A$39,'設定 Settings'!$A$5,'員工更表輸入'!$B$5:$B$39,G$60),Lists!$C$24&lt;SUMIFS('員工更表輸入'!$F$5:$F$39,'員工更表輸入'!$A$5:$A$39,'設定 Settings'!$A$5,'員工更表輸入'!$B$5:$B$39,G$60)),"Break","Work"))</f>
        <v/>
      </c>
      <c r="H83" s="24">
        <f>IF(OR(SUMIFS('員工更表輸入'!$D$5:$D$39,'員工更表輸入'!$A$5:$A$39,'設定 Settings'!$A$5,'員工更表輸入'!$B$5:$B$39,H$60)&lt;=0,Lists!$C$24&lt;SUMIFS('員工更表輸入'!$C$5:$C$39,'員工更表輸入'!$A$5:$A$39,'設定 Settings'!$A$5,'員工更表輸入'!$B$5:$B$39,H$60),Lists!$C$24&gt;=SUMIFS('員工更表輸入'!$D$5:$D$39,'員工更表輸入'!$A$5:$A$39,'設定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Settings'!$A$5,'員工更表輸入'!$B$5:$B$39,H$60)&gt;0,Lists!$C$24&gt;=SUMIFS('員工更表輸入'!$E$5:$E$39,'員工更表輸入'!$A$5:$A$39,'設定 Settings'!$A$5,'員工更表輸入'!$B$5:$B$39,H$60),Lists!$C$24&lt;SUMIFS('員工更表輸入'!$F$5:$F$39,'員工更表輸入'!$A$5:$A$39,'設定 Settings'!$A$5,'員工更表輸入'!$B$5:$B$39,H$60)),"Break","Work"))</f>
        <v/>
      </c>
    </row>
    <row r="84">
      <c r="A84" s="22" t="inlineStr">
        <is>
          <t>9:15pm-9:45pm</t>
        </is>
      </c>
      <c r="B84" s="24">
        <f>IF(OR(SUMIFS('員工更表輸入'!$D$5:$D$39,'員工更表輸入'!$A$5:$A$39,'設定 Settings'!$A$5,'員工更表輸入'!$B$5:$B$39,B$60)&lt;=0,Lists!$C$25&lt;SUMIFS('員工更表輸入'!$C$5:$C$39,'員工更表輸入'!$A$5:$A$39,'設定 Settings'!$A$5,'員工更表輸入'!$B$5:$B$39,B$60),Lists!$C$25&gt;=SUMIFS('員工更表輸入'!$D$5:$D$39,'員工更表輸入'!$A$5:$A$39,'設定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Settings'!$A$5,'員工更表輸入'!$B$5:$B$39,B$60)&gt;0,Lists!$C$25&gt;=SUMIFS('員工更表輸入'!$E$5:$E$39,'員工更表輸入'!$A$5:$A$39,'設定 Settings'!$A$5,'員工更表輸入'!$B$5:$B$39,B$60),Lists!$C$25&lt;SUMIFS('員工更表輸入'!$F$5:$F$39,'員工更表輸入'!$A$5:$A$39,'設定 Settings'!$A$5,'員工更表輸入'!$B$5:$B$39,B$60)),"Break","Work"))</f>
        <v/>
      </c>
      <c r="C84" s="24">
        <f>IF(OR(SUMIFS('員工更表輸入'!$D$5:$D$39,'員工更表輸入'!$A$5:$A$39,'設定 Settings'!$A$5,'員工更表輸入'!$B$5:$B$39,C$60)&lt;=0,Lists!$C$25&lt;SUMIFS('員工更表輸入'!$C$5:$C$39,'員工更表輸入'!$A$5:$A$39,'設定 Settings'!$A$5,'員工更表輸入'!$B$5:$B$39,C$60),Lists!$C$25&gt;=SUMIFS('員工更表輸入'!$D$5:$D$39,'員工更表輸入'!$A$5:$A$39,'設定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Settings'!$A$5,'員工更表輸入'!$B$5:$B$39,C$60)&gt;0,Lists!$C$25&gt;=SUMIFS('員工更表輸入'!$E$5:$E$39,'員工更表輸入'!$A$5:$A$39,'設定 Settings'!$A$5,'員工更表輸入'!$B$5:$B$39,C$60),Lists!$C$25&lt;SUMIFS('員工更表輸入'!$F$5:$F$39,'員工更表輸入'!$A$5:$A$39,'設定 Settings'!$A$5,'員工更表輸入'!$B$5:$B$39,C$60)),"Break","Work"))</f>
        <v/>
      </c>
      <c r="D84" s="24">
        <f>IF(OR(SUMIFS('員工更表輸入'!$D$5:$D$39,'員工更表輸入'!$A$5:$A$39,'設定 Settings'!$A$5,'員工更表輸入'!$B$5:$B$39,D$60)&lt;=0,Lists!$C$25&lt;SUMIFS('員工更表輸入'!$C$5:$C$39,'員工更表輸入'!$A$5:$A$39,'設定 Settings'!$A$5,'員工更表輸入'!$B$5:$B$39,D$60),Lists!$C$25&gt;=SUMIFS('員工更表輸入'!$D$5:$D$39,'員工更表輸入'!$A$5:$A$39,'設定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Settings'!$A$5,'員工更表輸入'!$B$5:$B$39,D$60)&gt;0,Lists!$C$25&gt;=SUMIFS('員工更表輸入'!$E$5:$E$39,'員工更表輸入'!$A$5:$A$39,'設定 Settings'!$A$5,'員工更表輸入'!$B$5:$B$39,D$60),Lists!$C$25&lt;SUMIFS('員工更表輸入'!$F$5:$F$39,'員工更表輸入'!$A$5:$A$39,'設定 Settings'!$A$5,'員工更表輸入'!$B$5:$B$39,D$60)),"Break","Work"))</f>
        <v/>
      </c>
      <c r="E84" s="24">
        <f>IF(OR(SUMIFS('員工更表輸入'!$D$5:$D$39,'員工更表輸入'!$A$5:$A$39,'設定 Settings'!$A$5,'員工更表輸入'!$B$5:$B$39,E$60)&lt;=0,Lists!$C$25&lt;SUMIFS('員工更表輸入'!$C$5:$C$39,'員工更表輸入'!$A$5:$A$39,'設定 Settings'!$A$5,'員工更表輸入'!$B$5:$B$39,E$60),Lists!$C$25&gt;=SUMIFS('員工更表輸入'!$D$5:$D$39,'員工更表輸入'!$A$5:$A$39,'設定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Settings'!$A$5,'員工更表輸入'!$B$5:$B$39,E$60)&gt;0,Lists!$C$25&gt;=SUMIFS('員工更表輸入'!$E$5:$E$39,'員工更表輸入'!$A$5:$A$39,'設定 Settings'!$A$5,'員工更表輸入'!$B$5:$B$39,E$60),Lists!$C$25&lt;SUMIFS('員工更表輸入'!$F$5:$F$39,'員工更表輸入'!$A$5:$A$39,'設定 Settings'!$A$5,'員工更表輸入'!$B$5:$B$39,E$60)),"Break","Work"))</f>
        <v/>
      </c>
      <c r="F84" s="24">
        <f>IF(OR(SUMIFS('員工更表輸入'!$D$5:$D$39,'員工更表輸入'!$A$5:$A$39,'設定 Settings'!$A$5,'員工更表輸入'!$B$5:$B$39,F$60)&lt;=0,Lists!$C$25&lt;SUMIFS('員工更表輸入'!$C$5:$C$39,'員工更表輸入'!$A$5:$A$39,'設定 Settings'!$A$5,'員工更表輸入'!$B$5:$B$39,F$60),Lists!$C$25&gt;=SUMIFS('員工更表輸入'!$D$5:$D$39,'員工更表輸入'!$A$5:$A$39,'設定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Settings'!$A$5,'員工更表輸入'!$B$5:$B$39,F$60)&gt;0,Lists!$C$25&gt;=SUMIFS('員工更表輸入'!$E$5:$E$39,'員工更表輸入'!$A$5:$A$39,'設定 Settings'!$A$5,'員工更表輸入'!$B$5:$B$39,F$60),Lists!$C$25&lt;SUMIFS('員工更表輸入'!$F$5:$F$39,'員工更表輸入'!$A$5:$A$39,'設定 Settings'!$A$5,'員工更表輸入'!$B$5:$B$39,F$60)),"Break","Work"))</f>
        <v/>
      </c>
      <c r="G84" s="24">
        <f>IF(OR(SUMIFS('員工更表輸入'!$D$5:$D$39,'員工更表輸入'!$A$5:$A$39,'設定 Settings'!$A$5,'員工更表輸入'!$B$5:$B$39,G$60)&lt;=0,Lists!$C$25&lt;SUMIFS('員工更表輸入'!$C$5:$C$39,'員工更表輸入'!$A$5:$A$39,'設定 Settings'!$A$5,'員工更表輸入'!$B$5:$B$39,G$60),Lists!$C$25&gt;=SUMIFS('員工更表輸入'!$D$5:$D$39,'員工更表輸入'!$A$5:$A$39,'設定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Settings'!$A$5,'員工更表輸入'!$B$5:$B$39,G$60)&gt;0,Lists!$C$25&gt;=SUMIFS('員工更表輸入'!$E$5:$E$39,'員工更表輸入'!$A$5:$A$39,'設定 Settings'!$A$5,'員工更表輸入'!$B$5:$B$39,G$60),Lists!$C$25&lt;SUMIFS('員工更表輸入'!$F$5:$F$39,'員工更表輸入'!$A$5:$A$39,'設定 Settings'!$A$5,'員工更表輸入'!$B$5:$B$39,G$60)),"Break","Work"))</f>
        <v/>
      </c>
      <c r="H84" s="24">
        <f>IF(OR(SUMIFS('員工更表輸入'!$D$5:$D$39,'員工更表輸入'!$A$5:$A$39,'設定 Settings'!$A$5,'員工更表輸入'!$B$5:$B$39,H$60)&lt;=0,Lists!$C$25&lt;SUMIFS('員工更表輸入'!$C$5:$C$39,'員工更表輸入'!$A$5:$A$39,'設定 Settings'!$A$5,'員工更表輸入'!$B$5:$B$39,H$60),Lists!$C$25&gt;=SUMIFS('員工更表輸入'!$D$5:$D$39,'員工更表輸入'!$A$5:$A$39,'設定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Settings'!$A$5,'員工更表輸入'!$B$5:$B$39,H$60)&gt;0,Lists!$C$25&gt;=SUMIFS('員工更表輸入'!$E$5:$E$39,'員工更表輸入'!$A$5:$A$39,'設定 Settings'!$A$5,'員工更表輸入'!$B$5:$B$39,H$60),Lists!$C$25&lt;SUMIFS('員工更表輸入'!$F$5:$F$39,'員工更表輸入'!$A$5:$A$39,'設定 Settings'!$A$5,'員工更表輸入'!$B$5:$B$39,H$60)),"Break","Work"))</f>
        <v/>
      </c>
    </row>
    <row r="85">
      <c r="A85" s="22" t="inlineStr">
        <is>
          <t>9:45pm-10:15pm</t>
        </is>
      </c>
      <c r="B85" s="24">
        <f>IF(OR(SUMIFS('員工更表輸入'!$D$5:$D$39,'員工更表輸入'!$A$5:$A$39,'設定 Settings'!$A$5,'員工更表輸入'!$B$5:$B$39,B$60)&lt;=0,Lists!$C$26&lt;SUMIFS('員工更表輸入'!$C$5:$C$39,'員工更表輸入'!$A$5:$A$39,'設定 Settings'!$A$5,'員工更表輸入'!$B$5:$B$39,B$60),Lists!$C$26&gt;=SUMIFS('員工更表輸入'!$D$5:$D$39,'員工更表輸入'!$A$5:$A$39,'設定 Settings'!$A$5,'員工更表輸入'!$B$5:$B$39,B$60)),"",IF(AND(SUMIFS('員工更表輸入'!$F$5:$F$39,'員工更表輸入'!$A$5:$A$39,'設定 Settings'!$A$5,'員工更表輸入'!$B$5:$B$39,B$60)&gt;0,Lists!$C$26&gt;=SUMIFS('員工更表輸入'!$E$5:$E$39,'員工更表輸入'!$A$5:$A$39,'設定 Settings'!$A$5,'員工更表輸入'!$B$5:$B$39,B$60),Lists!$C$26&lt;SUMIFS('員工更表輸入'!$F$5:$F$39,'員工更表輸入'!$A$5:$A$39,'設定 Settings'!$A$5,'員工更表輸入'!$B$5:$B$39,B$60)),"Break","Work"))</f>
        <v/>
      </c>
      <c r="C85" s="24">
        <f>IF(OR(SUMIFS('員工更表輸入'!$D$5:$D$39,'員工更表輸入'!$A$5:$A$39,'設定 Settings'!$A$5,'員工更表輸入'!$B$5:$B$39,C$60)&lt;=0,Lists!$C$26&lt;SUMIFS('員工更表輸入'!$C$5:$C$39,'員工更表輸入'!$A$5:$A$39,'設定 Settings'!$A$5,'員工更表輸入'!$B$5:$B$39,C$60),Lists!$C$26&gt;=SUMIFS('員工更表輸入'!$D$5:$D$39,'員工更表輸入'!$A$5:$A$39,'設定 Settings'!$A$5,'員工更表輸入'!$B$5:$B$39,C$60)),"",IF(AND(SUMIFS('員工更表輸入'!$F$5:$F$39,'員工更表輸入'!$A$5:$A$39,'設定 Settings'!$A$5,'員工更表輸入'!$B$5:$B$39,C$60)&gt;0,Lists!$C$26&gt;=SUMIFS('員工更表輸入'!$E$5:$E$39,'員工更表輸入'!$A$5:$A$39,'設定 Settings'!$A$5,'員工更表輸入'!$B$5:$B$39,C$60),Lists!$C$26&lt;SUMIFS('員工更表輸入'!$F$5:$F$39,'員工更表輸入'!$A$5:$A$39,'設定 Settings'!$A$5,'員工更表輸入'!$B$5:$B$39,C$60)),"Break","Work"))</f>
        <v/>
      </c>
      <c r="D85" s="24">
        <f>IF(OR(SUMIFS('員工更表輸入'!$D$5:$D$39,'員工更表輸入'!$A$5:$A$39,'設定 Settings'!$A$5,'員工更表輸入'!$B$5:$B$39,D$60)&lt;=0,Lists!$C$26&lt;SUMIFS('員工更表輸入'!$C$5:$C$39,'員工更表輸入'!$A$5:$A$39,'設定 Settings'!$A$5,'員工更表輸入'!$B$5:$B$39,D$60),Lists!$C$26&gt;=SUMIFS('員工更表輸入'!$D$5:$D$39,'員工更表輸入'!$A$5:$A$39,'設定 Settings'!$A$5,'員工更表輸入'!$B$5:$B$39,D$60)),"",IF(AND(SUMIFS('員工更表輸入'!$F$5:$F$39,'員工更表輸入'!$A$5:$A$39,'設定 Settings'!$A$5,'員工更表輸入'!$B$5:$B$39,D$60)&gt;0,Lists!$C$26&gt;=SUMIFS('員工更表輸入'!$E$5:$E$39,'員工更表輸入'!$A$5:$A$39,'設定 Settings'!$A$5,'員工更表輸入'!$B$5:$B$39,D$60),Lists!$C$26&lt;SUMIFS('員工更表輸入'!$F$5:$F$39,'員工更表輸入'!$A$5:$A$39,'設定 Settings'!$A$5,'員工更表輸入'!$B$5:$B$39,D$60)),"Break","Work"))</f>
        <v/>
      </c>
      <c r="E85" s="24">
        <f>IF(OR(SUMIFS('員工更表輸入'!$D$5:$D$39,'員工更表輸入'!$A$5:$A$39,'設定 Settings'!$A$5,'員工更表輸入'!$B$5:$B$39,E$60)&lt;=0,Lists!$C$26&lt;SUMIFS('員工更表輸入'!$C$5:$C$39,'員工更表輸入'!$A$5:$A$39,'設定 Settings'!$A$5,'員工更表輸入'!$B$5:$B$39,E$60),Lists!$C$26&gt;=SUMIFS('員工更表輸入'!$D$5:$D$39,'員工更表輸入'!$A$5:$A$39,'設定 Settings'!$A$5,'員工更表輸入'!$B$5:$B$39,E$60)),"",IF(AND(SUMIFS('員工更表輸入'!$F$5:$F$39,'員工更表輸入'!$A$5:$A$39,'設定 Settings'!$A$5,'員工更表輸入'!$B$5:$B$39,E$60)&gt;0,Lists!$C$26&gt;=SUMIFS('員工更表輸入'!$E$5:$E$39,'員工更表輸入'!$A$5:$A$39,'設定 Settings'!$A$5,'員工更表輸入'!$B$5:$B$39,E$60),Lists!$C$26&lt;SUMIFS('員工更表輸入'!$F$5:$F$39,'員工更表輸入'!$A$5:$A$39,'設定 Settings'!$A$5,'員工更表輸入'!$B$5:$B$39,E$60)),"Break","Work"))</f>
        <v/>
      </c>
      <c r="F85" s="24">
        <f>IF(OR(SUMIFS('員工更表輸入'!$D$5:$D$39,'員工更表輸入'!$A$5:$A$39,'設定 Settings'!$A$5,'員工更表輸入'!$B$5:$B$39,F$60)&lt;=0,Lists!$C$26&lt;SUMIFS('員工更表輸入'!$C$5:$C$39,'員工更表輸入'!$A$5:$A$39,'設定 Settings'!$A$5,'員工更表輸入'!$B$5:$B$39,F$60),Lists!$C$26&gt;=SUMIFS('員工更表輸入'!$D$5:$D$39,'員工更表輸入'!$A$5:$A$39,'設定 Settings'!$A$5,'員工更表輸入'!$B$5:$B$39,F$60)),"",IF(AND(SUMIFS('員工更表輸入'!$F$5:$F$39,'員工更表輸入'!$A$5:$A$39,'設定 Settings'!$A$5,'員工更表輸入'!$B$5:$B$39,F$60)&gt;0,Lists!$C$26&gt;=SUMIFS('員工更表輸入'!$E$5:$E$39,'員工更表輸入'!$A$5:$A$39,'設定 Settings'!$A$5,'員工更表輸入'!$B$5:$B$39,F$60),Lists!$C$26&lt;SUMIFS('員工更表輸入'!$F$5:$F$39,'員工更表輸入'!$A$5:$A$39,'設定 Settings'!$A$5,'員工更表輸入'!$B$5:$B$39,F$60)),"Break","Work"))</f>
        <v/>
      </c>
      <c r="G85" s="24">
        <f>IF(OR(SUMIFS('員工更表輸入'!$D$5:$D$39,'員工更表輸入'!$A$5:$A$39,'設定 Settings'!$A$5,'員工更表輸入'!$B$5:$B$39,G$60)&lt;=0,Lists!$C$26&lt;SUMIFS('員工更表輸入'!$C$5:$C$39,'員工更表輸入'!$A$5:$A$39,'設定 Settings'!$A$5,'員工更表輸入'!$B$5:$B$39,G$60),Lists!$C$26&gt;=SUMIFS('員工更表輸入'!$D$5:$D$39,'員工更表輸入'!$A$5:$A$39,'設定 Settings'!$A$5,'員工更表輸入'!$B$5:$B$39,G$60)),"",IF(AND(SUMIFS('員工更表輸入'!$F$5:$F$39,'員工更表輸入'!$A$5:$A$39,'設定 Settings'!$A$5,'員工更表輸入'!$B$5:$B$39,G$60)&gt;0,Lists!$C$26&gt;=SUMIFS('員工更表輸入'!$E$5:$E$39,'員工更表輸入'!$A$5:$A$39,'設定 Settings'!$A$5,'員工更表輸入'!$B$5:$B$39,G$60),Lists!$C$26&lt;SUMIFS('員工更表輸入'!$F$5:$F$39,'員工更表輸入'!$A$5:$A$39,'設定 Settings'!$A$5,'員工更表輸入'!$B$5:$B$39,G$60)),"Break","Work"))</f>
        <v/>
      </c>
      <c r="H85" s="24">
        <f>IF(OR(SUMIFS('員工更表輸入'!$D$5:$D$39,'員工更表輸入'!$A$5:$A$39,'設定 Settings'!$A$5,'員工更表輸入'!$B$5:$B$39,H$60)&lt;=0,Lists!$C$26&lt;SUMIFS('員工更表輸入'!$C$5:$C$39,'員工更表輸入'!$A$5:$A$39,'設定 Settings'!$A$5,'員工更表輸入'!$B$5:$B$39,H$60),Lists!$C$26&gt;=SUMIFS('員工更表輸入'!$D$5:$D$39,'員工更表輸入'!$A$5:$A$39,'設定 Settings'!$A$5,'員工更表輸入'!$B$5:$B$39,H$60)),"",IF(AND(SUMIFS('員工更表輸入'!$F$5:$F$39,'員工更表輸入'!$A$5:$A$39,'設定 Settings'!$A$5,'員工更表輸入'!$B$5:$B$39,H$60)&gt;0,Lists!$C$26&gt;=SUMIFS('員工更表輸入'!$E$5:$E$39,'員工更表輸入'!$A$5:$A$39,'設定 Settings'!$A$5,'員工更表輸入'!$B$5:$B$39,H$60),Lists!$C$26&lt;SUMIFS('員工更表輸入'!$F$5:$F$39,'員工更表輸入'!$A$5:$A$39,'設定 Settings'!$A$5,'員工更表輸入'!$B$5:$B$39,H$60)),"Break","Work"))</f>
        <v/>
      </c>
    </row>
    <row r="87">
      <c r="A87" s="26">
        <f>"員工更表："&amp;'設定 Settings'!$A$6</f>
        <v/>
      </c>
    </row>
    <row r="88">
      <c r="A88" s="17" t="inlineStr">
        <is>
          <t>時段＼員工</t>
        </is>
      </c>
      <c r="B88" s="17" t="inlineStr">
        <is>
          <t>星期一</t>
        </is>
      </c>
      <c r="C88" s="17" t="inlineStr">
        <is>
          <t>星期二</t>
        </is>
      </c>
      <c r="D88" s="17" t="inlineStr">
        <is>
          <t>星期三</t>
        </is>
      </c>
      <c r="E88" s="17" t="inlineStr">
        <is>
          <t>星期四</t>
        </is>
      </c>
      <c r="F88" s="17" t="inlineStr">
        <is>
          <t>星期五</t>
        </is>
      </c>
      <c r="G88" s="21" t="inlineStr">
        <is>
          <t>星期六</t>
        </is>
      </c>
      <c r="H88" s="21" t="inlineStr">
        <is>
          <t>星期日</t>
        </is>
      </c>
    </row>
    <row r="89">
      <c r="A89" s="22" t="inlineStr">
        <is>
          <t>9:45am-10:15am</t>
        </is>
      </c>
      <c r="B89" s="24">
        <f>IF(OR(SUMIFS('員工更表輸入'!$D$5:$D$39,'員工更表輸入'!$A$5:$A$39,'設定 Settings'!$A$6,'員工更表輸入'!$B$5:$B$39,B$88)&lt;=0,Lists!$C$2&lt;SUMIFS('員工更表輸入'!$C$5:$C$39,'員工更表輸入'!$A$5:$A$39,'設定 Settings'!$A$6,'員工更表輸入'!$B$5:$B$39,B$88),Lists!$C$2&gt;=SUMIFS('員工更表輸入'!$D$5:$D$39,'員工更表輸入'!$A$5:$A$39,'設定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Settings'!$A$6,'員工更表輸入'!$B$5:$B$39,B$88)&gt;0,Lists!$C$2&gt;=SUMIFS('員工更表輸入'!$E$5:$E$39,'員工更表輸入'!$A$5:$A$39,'設定 Settings'!$A$6,'員工更表輸入'!$B$5:$B$39,B$88),Lists!$C$2&lt;SUMIFS('員工更表輸入'!$F$5:$F$39,'員工更表輸入'!$A$5:$A$39,'設定 Settings'!$A$6,'員工更表輸入'!$B$5:$B$39,B$88)),"Break","Work"))</f>
        <v/>
      </c>
      <c r="C89" s="24">
        <f>IF(OR(SUMIFS('員工更表輸入'!$D$5:$D$39,'員工更表輸入'!$A$5:$A$39,'設定 Settings'!$A$6,'員工更表輸入'!$B$5:$B$39,C$88)&lt;=0,Lists!$C$2&lt;SUMIFS('員工更表輸入'!$C$5:$C$39,'員工更表輸入'!$A$5:$A$39,'設定 Settings'!$A$6,'員工更表輸入'!$B$5:$B$39,C$88),Lists!$C$2&gt;=SUMIFS('員工更表輸入'!$D$5:$D$39,'員工更表輸入'!$A$5:$A$39,'設定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Settings'!$A$6,'員工更表輸入'!$B$5:$B$39,C$88)&gt;0,Lists!$C$2&gt;=SUMIFS('員工更表輸入'!$E$5:$E$39,'員工更表輸入'!$A$5:$A$39,'設定 Settings'!$A$6,'員工更表輸入'!$B$5:$B$39,C$88),Lists!$C$2&lt;SUMIFS('員工更表輸入'!$F$5:$F$39,'員工更表輸入'!$A$5:$A$39,'設定 Settings'!$A$6,'員工更表輸入'!$B$5:$B$39,C$88)),"Break","Work"))</f>
        <v/>
      </c>
      <c r="D89" s="24">
        <f>IF(OR(SUMIFS('員工更表輸入'!$D$5:$D$39,'員工更表輸入'!$A$5:$A$39,'設定 Settings'!$A$6,'員工更表輸入'!$B$5:$B$39,D$88)&lt;=0,Lists!$C$2&lt;SUMIFS('員工更表輸入'!$C$5:$C$39,'員工更表輸入'!$A$5:$A$39,'設定 Settings'!$A$6,'員工更表輸入'!$B$5:$B$39,D$88),Lists!$C$2&gt;=SUMIFS('員工更表輸入'!$D$5:$D$39,'員工更表輸入'!$A$5:$A$39,'設定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Settings'!$A$6,'員工更表輸入'!$B$5:$B$39,D$88)&gt;0,Lists!$C$2&gt;=SUMIFS('員工更表輸入'!$E$5:$E$39,'員工更表輸入'!$A$5:$A$39,'設定 Settings'!$A$6,'員工更表輸入'!$B$5:$B$39,D$88),Lists!$C$2&lt;SUMIFS('員工更表輸入'!$F$5:$F$39,'員工更表輸入'!$A$5:$A$39,'設定 Settings'!$A$6,'員工更表輸入'!$B$5:$B$39,D$88)),"Break","Work"))</f>
        <v/>
      </c>
      <c r="E89" s="24">
        <f>IF(OR(SUMIFS('員工更表輸入'!$D$5:$D$39,'員工更表輸入'!$A$5:$A$39,'設定 Settings'!$A$6,'員工更表輸入'!$B$5:$B$39,E$88)&lt;=0,Lists!$C$2&lt;SUMIFS('員工更表輸入'!$C$5:$C$39,'員工更表輸入'!$A$5:$A$39,'設定 Settings'!$A$6,'員工更表輸入'!$B$5:$B$39,E$88),Lists!$C$2&gt;=SUMIFS('員工更表輸入'!$D$5:$D$39,'員工更表輸入'!$A$5:$A$39,'設定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Settings'!$A$6,'員工更表輸入'!$B$5:$B$39,E$88)&gt;0,Lists!$C$2&gt;=SUMIFS('員工更表輸入'!$E$5:$E$39,'員工更表輸入'!$A$5:$A$39,'設定 Settings'!$A$6,'員工更表輸入'!$B$5:$B$39,E$88),Lists!$C$2&lt;SUMIFS('員工更表輸入'!$F$5:$F$39,'員工更表輸入'!$A$5:$A$39,'設定 Settings'!$A$6,'員工更表輸入'!$B$5:$B$39,E$88)),"Break","Work"))</f>
        <v/>
      </c>
      <c r="F89" s="24">
        <f>IF(OR(SUMIFS('員工更表輸入'!$D$5:$D$39,'員工更表輸入'!$A$5:$A$39,'設定 Settings'!$A$6,'員工更表輸入'!$B$5:$B$39,F$88)&lt;=0,Lists!$C$2&lt;SUMIFS('員工更表輸入'!$C$5:$C$39,'員工更表輸入'!$A$5:$A$39,'設定 Settings'!$A$6,'員工更表輸入'!$B$5:$B$39,F$88),Lists!$C$2&gt;=SUMIFS('員工更表輸入'!$D$5:$D$39,'員工更表輸入'!$A$5:$A$39,'設定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Settings'!$A$6,'員工更表輸入'!$B$5:$B$39,F$88)&gt;0,Lists!$C$2&gt;=SUMIFS('員工更表輸入'!$E$5:$E$39,'員工更表輸入'!$A$5:$A$39,'設定 Settings'!$A$6,'員工更表輸入'!$B$5:$B$39,F$88),Lists!$C$2&lt;SUMIFS('員工更表輸入'!$F$5:$F$39,'員工更表輸入'!$A$5:$A$39,'設定 Settings'!$A$6,'員工更表輸入'!$B$5:$B$39,F$88)),"Break","Work"))</f>
        <v/>
      </c>
      <c r="G89" s="24">
        <f>IF(OR(SUMIFS('員工更表輸入'!$D$5:$D$39,'員工更表輸入'!$A$5:$A$39,'設定 Settings'!$A$6,'員工更表輸入'!$B$5:$B$39,G$88)&lt;=0,Lists!$C$2&lt;SUMIFS('員工更表輸入'!$C$5:$C$39,'員工更表輸入'!$A$5:$A$39,'設定 Settings'!$A$6,'員工更表輸入'!$B$5:$B$39,G$88),Lists!$C$2&gt;=SUMIFS('員工更表輸入'!$D$5:$D$39,'員工更表輸入'!$A$5:$A$39,'設定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Settings'!$A$6,'員工更表輸入'!$B$5:$B$39,G$88)&gt;0,Lists!$C$2&gt;=SUMIFS('員工更表輸入'!$E$5:$E$39,'員工更表輸入'!$A$5:$A$39,'設定 Settings'!$A$6,'員工更表輸入'!$B$5:$B$39,G$88),Lists!$C$2&lt;SUMIFS('員工更表輸入'!$F$5:$F$39,'員工更表輸入'!$A$5:$A$39,'設定 Settings'!$A$6,'員工更表輸入'!$B$5:$B$39,G$88)),"Break","Work"))</f>
        <v/>
      </c>
      <c r="H89" s="24">
        <f>IF(OR(SUMIFS('員工更表輸入'!$D$5:$D$39,'員工更表輸入'!$A$5:$A$39,'設定 Settings'!$A$6,'員工更表輸入'!$B$5:$B$39,H$88)&lt;=0,Lists!$C$2&lt;SUMIFS('員工更表輸入'!$C$5:$C$39,'員工更表輸入'!$A$5:$A$39,'設定 Settings'!$A$6,'員工更表輸入'!$B$5:$B$39,H$88),Lists!$C$2&gt;=SUMIFS('員工更表輸入'!$D$5:$D$39,'員工更表輸入'!$A$5:$A$39,'設定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Settings'!$A$6,'員工更表輸入'!$B$5:$B$39,H$88)&gt;0,Lists!$C$2&gt;=SUMIFS('員工更表輸入'!$E$5:$E$39,'員工更表輸入'!$A$5:$A$39,'設定 Settings'!$A$6,'員工更表輸入'!$B$5:$B$39,H$88),Lists!$C$2&lt;SUMIFS('員工更表輸入'!$F$5:$F$39,'員工更表輸入'!$A$5:$A$39,'設定 Settings'!$A$6,'員工更表輸入'!$B$5:$B$39,H$88)),"Break","Work"))</f>
        <v/>
      </c>
    </row>
    <row r="90">
      <c r="A90" s="22" t="inlineStr">
        <is>
          <t>10:15am-10:45am</t>
        </is>
      </c>
      <c r="B90" s="24">
        <f>IF(OR(SUMIFS('員工更表輸入'!$D$5:$D$39,'員工更表輸入'!$A$5:$A$39,'設定 Settings'!$A$6,'員工更表輸入'!$B$5:$B$39,B$88)&lt;=0,Lists!$C$3&lt;SUMIFS('員工更表輸入'!$C$5:$C$39,'員工更表輸入'!$A$5:$A$39,'設定 Settings'!$A$6,'員工更表輸入'!$B$5:$B$39,B$88),Lists!$C$3&gt;=SUMIFS('員工更表輸入'!$D$5:$D$39,'員工更表輸入'!$A$5:$A$39,'設定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Settings'!$A$6,'員工更表輸入'!$B$5:$B$39,B$88)&gt;0,Lists!$C$3&gt;=SUMIFS('員工更表輸入'!$E$5:$E$39,'員工更表輸入'!$A$5:$A$39,'設定 Settings'!$A$6,'員工更表輸入'!$B$5:$B$39,B$88),Lists!$C$3&lt;SUMIFS('員工更表輸入'!$F$5:$F$39,'員工更表輸入'!$A$5:$A$39,'設定 Settings'!$A$6,'員工更表輸入'!$B$5:$B$39,B$88)),"Break","Work"))</f>
        <v/>
      </c>
      <c r="C90" s="24">
        <f>IF(OR(SUMIFS('員工更表輸入'!$D$5:$D$39,'員工更表輸入'!$A$5:$A$39,'設定 Settings'!$A$6,'員工更表輸入'!$B$5:$B$39,C$88)&lt;=0,Lists!$C$3&lt;SUMIFS('員工更表輸入'!$C$5:$C$39,'員工更表輸入'!$A$5:$A$39,'設定 Settings'!$A$6,'員工更表輸入'!$B$5:$B$39,C$88),Lists!$C$3&gt;=SUMIFS('員工更表輸入'!$D$5:$D$39,'員工更表輸入'!$A$5:$A$39,'設定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Settings'!$A$6,'員工更表輸入'!$B$5:$B$39,C$88)&gt;0,Lists!$C$3&gt;=SUMIFS('員工更表輸入'!$E$5:$E$39,'員工更表輸入'!$A$5:$A$39,'設定 Settings'!$A$6,'員工更表輸入'!$B$5:$B$39,C$88),Lists!$C$3&lt;SUMIFS('員工更表輸入'!$F$5:$F$39,'員工更表輸入'!$A$5:$A$39,'設定 Settings'!$A$6,'員工更表輸入'!$B$5:$B$39,C$88)),"Break","Work"))</f>
        <v/>
      </c>
      <c r="D90" s="24">
        <f>IF(OR(SUMIFS('員工更表輸入'!$D$5:$D$39,'員工更表輸入'!$A$5:$A$39,'設定 Settings'!$A$6,'員工更表輸入'!$B$5:$B$39,D$88)&lt;=0,Lists!$C$3&lt;SUMIFS('員工更表輸入'!$C$5:$C$39,'員工更表輸入'!$A$5:$A$39,'設定 Settings'!$A$6,'員工更表輸入'!$B$5:$B$39,D$88),Lists!$C$3&gt;=SUMIFS('員工更表輸入'!$D$5:$D$39,'員工更表輸入'!$A$5:$A$39,'設定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Settings'!$A$6,'員工更表輸入'!$B$5:$B$39,D$88)&gt;0,Lists!$C$3&gt;=SUMIFS('員工更表輸入'!$E$5:$E$39,'員工更表輸入'!$A$5:$A$39,'設定 Settings'!$A$6,'員工更表輸入'!$B$5:$B$39,D$88),Lists!$C$3&lt;SUMIFS('員工更表輸入'!$F$5:$F$39,'員工更表輸入'!$A$5:$A$39,'設定 Settings'!$A$6,'員工更表輸入'!$B$5:$B$39,D$88)),"Break","Work"))</f>
        <v/>
      </c>
      <c r="E90" s="24">
        <f>IF(OR(SUMIFS('員工更表輸入'!$D$5:$D$39,'員工更表輸入'!$A$5:$A$39,'設定 Settings'!$A$6,'員工更表輸入'!$B$5:$B$39,E$88)&lt;=0,Lists!$C$3&lt;SUMIFS('員工更表輸入'!$C$5:$C$39,'員工更表輸入'!$A$5:$A$39,'設定 Settings'!$A$6,'員工更表輸入'!$B$5:$B$39,E$88),Lists!$C$3&gt;=SUMIFS('員工更表輸入'!$D$5:$D$39,'員工更表輸入'!$A$5:$A$39,'設定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Settings'!$A$6,'員工更表輸入'!$B$5:$B$39,E$88)&gt;0,Lists!$C$3&gt;=SUMIFS('員工更表輸入'!$E$5:$E$39,'員工更表輸入'!$A$5:$A$39,'設定 Settings'!$A$6,'員工更表輸入'!$B$5:$B$39,E$88),Lists!$C$3&lt;SUMIFS('員工更表輸入'!$F$5:$F$39,'員工更表輸入'!$A$5:$A$39,'設定 Settings'!$A$6,'員工更表輸入'!$B$5:$B$39,E$88)),"Break","Work"))</f>
        <v/>
      </c>
      <c r="F90" s="24">
        <f>IF(OR(SUMIFS('員工更表輸入'!$D$5:$D$39,'員工更表輸入'!$A$5:$A$39,'設定 Settings'!$A$6,'員工更表輸入'!$B$5:$B$39,F$88)&lt;=0,Lists!$C$3&lt;SUMIFS('員工更表輸入'!$C$5:$C$39,'員工更表輸入'!$A$5:$A$39,'設定 Settings'!$A$6,'員工更表輸入'!$B$5:$B$39,F$88),Lists!$C$3&gt;=SUMIFS('員工更表輸入'!$D$5:$D$39,'員工更表輸入'!$A$5:$A$39,'設定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Settings'!$A$6,'員工更表輸入'!$B$5:$B$39,F$88)&gt;0,Lists!$C$3&gt;=SUMIFS('員工更表輸入'!$E$5:$E$39,'員工更表輸入'!$A$5:$A$39,'設定 Settings'!$A$6,'員工更表輸入'!$B$5:$B$39,F$88),Lists!$C$3&lt;SUMIFS('員工更表輸入'!$F$5:$F$39,'員工更表輸入'!$A$5:$A$39,'設定 Settings'!$A$6,'員工更表輸入'!$B$5:$B$39,F$88)),"Break","Work"))</f>
        <v/>
      </c>
      <c r="G90" s="24">
        <f>IF(OR(SUMIFS('員工更表輸入'!$D$5:$D$39,'員工更表輸入'!$A$5:$A$39,'設定 Settings'!$A$6,'員工更表輸入'!$B$5:$B$39,G$88)&lt;=0,Lists!$C$3&lt;SUMIFS('員工更表輸入'!$C$5:$C$39,'員工更表輸入'!$A$5:$A$39,'設定 Settings'!$A$6,'員工更表輸入'!$B$5:$B$39,G$88),Lists!$C$3&gt;=SUMIFS('員工更表輸入'!$D$5:$D$39,'員工更表輸入'!$A$5:$A$39,'設定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Settings'!$A$6,'員工更表輸入'!$B$5:$B$39,G$88)&gt;0,Lists!$C$3&gt;=SUMIFS('員工更表輸入'!$E$5:$E$39,'員工更表輸入'!$A$5:$A$39,'設定 Settings'!$A$6,'員工更表輸入'!$B$5:$B$39,G$88),Lists!$C$3&lt;SUMIFS('員工更表輸入'!$F$5:$F$39,'員工更表輸入'!$A$5:$A$39,'設定 Settings'!$A$6,'員工更表輸入'!$B$5:$B$39,G$88)),"Break","Work"))</f>
        <v/>
      </c>
      <c r="H90" s="24">
        <f>IF(OR(SUMIFS('員工更表輸入'!$D$5:$D$39,'員工更表輸入'!$A$5:$A$39,'設定 Settings'!$A$6,'員工更表輸入'!$B$5:$B$39,H$88)&lt;=0,Lists!$C$3&lt;SUMIFS('員工更表輸入'!$C$5:$C$39,'員工更表輸入'!$A$5:$A$39,'設定 Settings'!$A$6,'員工更表輸入'!$B$5:$B$39,H$88),Lists!$C$3&gt;=SUMIFS('員工更表輸入'!$D$5:$D$39,'員工更表輸入'!$A$5:$A$39,'設定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Settings'!$A$6,'員工更表輸入'!$B$5:$B$39,H$88)&gt;0,Lists!$C$3&gt;=SUMIFS('員工更表輸入'!$E$5:$E$39,'員工更表輸入'!$A$5:$A$39,'設定 Settings'!$A$6,'員工更表輸入'!$B$5:$B$39,H$88),Lists!$C$3&lt;SUMIFS('員工更表輸入'!$F$5:$F$39,'員工更表輸入'!$A$5:$A$39,'設定 Settings'!$A$6,'員工更表輸入'!$B$5:$B$39,H$88)),"Break","Work"))</f>
        <v/>
      </c>
    </row>
    <row r="91">
      <c r="A91" s="22" t="inlineStr">
        <is>
          <t>10:45am-11:15am</t>
        </is>
      </c>
      <c r="B91" s="24">
        <f>IF(OR(SUMIFS('員工更表輸入'!$D$5:$D$39,'員工更表輸入'!$A$5:$A$39,'設定 Settings'!$A$6,'員工更表輸入'!$B$5:$B$39,B$88)&lt;=0,Lists!$C$4&lt;SUMIFS('員工更表輸入'!$C$5:$C$39,'員工更表輸入'!$A$5:$A$39,'設定 Settings'!$A$6,'員工更表輸入'!$B$5:$B$39,B$88),Lists!$C$4&gt;=SUMIFS('員工更表輸入'!$D$5:$D$39,'員工更表輸入'!$A$5:$A$39,'設定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Settings'!$A$6,'員工更表輸入'!$B$5:$B$39,B$88)&gt;0,Lists!$C$4&gt;=SUMIFS('員工更表輸入'!$E$5:$E$39,'員工更表輸入'!$A$5:$A$39,'設定 Settings'!$A$6,'員工更表輸入'!$B$5:$B$39,B$88),Lists!$C$4&lt;SUMIFS('員工更表輸入'!$F$5:$F$39,'員工更表輸入'!$A$5:$A$39,'設定 Settings'!$A$6,'員工更表輸入'!$B$5:$B$39,B$88)),"Break","Work"))</f>
        <v/>
      </c>
      <c r="C91" s="24">
        <f>IF(OR(SUMIFS('員工更表輸入'!$D$5:$D$39,'員工更表輸入'!$A$5:$A$39,'設定 Settings'!$A$6,'員工更表輸入'!$B$5:$B$39,C$88)&lt;=0,Lists!$C$4&lt;SUMIFS('員工更表輸入'!$C$5:$C$39,'員工更表輸入'!$A$5:$A$39,'設定 Settings'!$A$6,'員工更表輸入'!$B$5:$B$39,C$88),Lists!$C$4&gt;=SUMIFS('員工更表輸入'!$D$5:$D$39,'員工更表輸入'!$A$5:$A$39,'設定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Settings'!$A$6,'員工更表輸入'!$B$5:$B$39,C$88)&gt;0,Lists!$C$4&gt;=SUMIFS('員工更表輸入'!$E$5:$E$39,'員工更表輸入'!$A$5:$A$39,'設定 Settings'!$A$6,'員工更表輸入'!$B$5:$B$39,C$88),Lists!$C$4&lt;SUMIFS('員工更表輸入'!$F$5:$F$39,'員工更表輸入'!$A$5:$A$39,'設定 Settings'!$A$6,'員工更表輸入'!$B$5:$B$39,C$88)),"Break","Work"))</f>
        <v/>
      </c>
      <c r="D91" s="24">
        <f>IF(OR(SUMIFS('員工更表輸入'!$D$5:$D$39,'員工更表輸入'!$A$5:$A$39,'設定 Settings'!$A$6,'員工更表輸入'!$B$5:$B$39,D$88)&lt;=0,Lists!$C$4&lt;SUMIFS('員工更表輸入'!$C$5:$C$39,'員工更表輸入'!$A$5:$A$39,'設定 Settings'!$A$6,'員工更表輸入'!$B$5:$B$39,D$88),Lists!$C$4&gt;=SUMIFS('員工更表輸入'!$D$5:$D$39,'員工更表輸入'!$A$5:$A$39,'設定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Settings'!$A$6,'員工更表輸入'!$B$5:$B$39,D$88)&gt;0,Lists!$C$4&gt;=SUMIFS('員工更表輸入'!$E$5:$E$39,'員工更表輸入'!$A$5:$A$39,'設定 Settings'!$A$6,'員工更表輸入'!$B$5:$B$39,D$88),Lists!$C$4&lt;SUMIFS('員工更表輸入'!$F$5:$F$39,'員工更表輸入'!$A$5:$A$39,'設定 Settings'!$A$6,'員工更表輸入'!$B$5:$B$39,D$88)),"Break","Work"))</f>
        <v/>
      </c>
      <c r="E91" s="24">
        <f>IF(OR(SUMIFS('員工更表輸入'!$D$5:$D$39,'員工更表輸入'!$A$5:$A$39,'設定 Settings'!$A$6,'員工更表輸入'!$B$5:$B$39,E$88)&lt;=0,Lists!$C$4&lt;SUMIFS('員工更表輸入'!$C$5:$C$39,'員工更表輸入'!$A$5:$A$39,'設定 Settings'!$A$6,'員工更表輸入'!$B$5:$B$39,E$88),Lists!$C$4&gt;=SUMIFS('員工更表輸入'!$D$5:$D$39,'員工更表輸入'!$A$5:$A$39,'設定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Settings'!$A$6,'員工更表輸入'!$B$5:$B$39,E$88)&gt;0,Lists!$C$4&gt;=SUMIFS('員工更表輸入'!$E$5:$E$39,'員工更表輸入'!$A$5:$A$39,'設定 Settings'!$A$6,'員工更表輸入'!$B$5:$B$39,E$88),Lists!$C$4&lt;SUMIFS('員工更表輸入'!$F$5:$F$39,'員工更表輸入'!$A$5:$A$39,'設定 Settings'!$A$6,'員工更表輸入'!$B$5:$B$39,E$88)),"Break","Work"))</f>
        <v/>
      </c>
      <c r="F91" s="24">
        <f>IF(OR(SUMIFS('員工更表輸入'!$D$5:$D$39,'員工更表輸入'!$A$5:$A$39,'設定 Settings'!$A$6,'員工更表輸入'!$B$5:$B$39,F$88)&lt;=0,Lists!$C$4&lt;SUMIFS('員工更表輸入'!$C$5:$C$39,'員工更表輸入'!$A$5:$A$39,'設定 Settings'!$A$6,'員工更表輸入'!$B$5:$B$39,F$88),Lists!$C$4&gt;=SUMIFS('員工更表輸入'!$D$5:$D$39,'員工更表輸入'!$A$5:$A$39,'設定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Settings'!$A$6,'員工更表輸入'!$B$5:$B$39,F$88)&gt;0,Lists!$C$4&gt;=SUMIFS('員工更表輸入'!$E$5:$E$39,'員工更表輸入'!$A$5:$A$39,'設定 Settings'!$A$6,'員工更表輸入'!$B$5:$B$39,F$88),Lists!$C$4&lt;SUMIFS('員工更表輸入'!$F$5:$F$39,'員工更表輸入'!$A$5:$A$39,'設定 Settings'!$A$6,'員工更表輸入'!$B$5:$B$39,F$88)),"Break","Work"))</f>
        <v/>
      </c>
      <c r="G91" s="24">
        <f>IF(OR(SUMIFS('員工更表輸入'!$D$5:$D$39,'員工更表輸入'!$A$5:$A$39,'設定 Settings'!$A$6,'員工更表輸入'!$B$5:$B$39,G$88)&lt;=0,Lists!$C$4&lt;SUMIFS('員工更表輸入'!$C$5:$C$39,'員工更表輸入'!$A$5:$A$39,'設定 Settings'!$A$6,'員工更表輸入'!$B$5:$B$39,G$88),Lists!$C$4&gt;=SUMIFS('員工更表輸入'!$D$5:$D$39,'員工更表輸入'!$A$5:$A$39,'設定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Settings'!$A$6,'員工更表輸入'!$B$5:$B$39,G$88)&gt;0,Lists!$C$4&gt;=SUMIFS('員工更表輸入'!$E$5:$E$39,'員工更表輸入'!$A$5:$A$39,'設定 Settings'!$A$6,'員工更表輸入'!$B$5:$B$39,G$88),Lists!$C$4&lt;SUMIFS('員工更表輸入'!$F$5:$F$39,'員工更表輸入'!$A$5:$A$39,'設定 Settings'!$A$6,'員工更表輸入'!$B$5:$B$39,G$88)),"Break","Work"))</f>
        <v/>
      </c>
      <c r="H91" s="24">
        <f>IF(OR(SUMIFS('員工更表輸入'!$D$5:$D$39,'員工更表輸入'!$A$5:$A$39,'設定 Settings'!$A$6,'員工更表輸入'!$B$5:$B$39,H$88)&lt;=0,Lists!$C$4&lt;SUMIFS('員工更表輸入'!$C$5:$C$39,'員工更表輸入'!$A$5:$A$39,'設定 Settings'!$A$6,'員工更表輸入'!$B$5:$B$39,H$88),Lists!$C$4&gt;=SUMIFS('員工更表輸入'!$D$5:$D$39,'員工更表輸入'!$A$5:$A$39,'設定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Settings'!$A$6,'員工更表輸入'!$B$5:$B$39,H$88)&gt;0,Lists!$C$4&gt;=SUMIFS('員工更表輸入'!$E$5:$E$39,'員工更表輸入'!$A$5:$A$39,'設定 Settings'!$A$6,'員工更表輸入'!$B$5:$B$39,H$88),Lists!$C$4&lt;SUMIFS('員工更表輸入'!$F$5:$F$39,'員工更表輸入'!$A$5:$A$39,'設定 Settings'!$A$6,'員工更表輸入'!$B$5:$B$39,H$88)),"Break","Work"))</f>
        <v/>
      </c>
    </row>
    <row r="92">
      <c r="A92" s="22" t="inlineStr">
        <is>
          <t>11:15am-11:45am</t>
        </is>
      </c>
      <c r="B92" s="24">
        <f>IF(OR(SUMIFS('員工更表輸入'!$D$5:$D$39,'員工更表輸入'!$A$5:$A$39,'設定 Settings'!$A$6,'員工更表輸入'!$B$5:$B$39,B$88)&lt;=0,Lists!$C$5&lt;SUMIFS('員工更表輸入'!$C$5:$C$39,'員工更表輸入'!$A$5:$A$39,'設定 Settings'!$A$6,'員工更表輸入'!$B$5:$B$39,B$88),Lists!$C$5&gt;=SUMIFS('員工更表輸入'!$D$5:$D$39,'員工更表輸入'!$A$5:$A$39,'設定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Settings'!$A$6,'員工更表輸入'!$B$5:$B$39,B$88)&gt;0,Lists!$C$5&gt;=SUMIFS('員工更表輸入'!$E$5:$E$39,'員工更表輸入'!$A$5:$A$39,'設定 Settings'!$A$6,'員工更表輸入'!$B$5:$B$39,B$88),Lists!$C$5&lt;SUMIFS('員工更表輸入'!$F$5:$F$39,'員工更表輸入'!$A$5:$A$39,'設定 Settings'!$A$6,'員工更表輸入'!$B$5:$B$39,B$88)),"Break","Work"))</f>
        <v/>
      </c>
      <c r="C92" s="24">
        <f>IF(OR(SUMIFS('員工更表輸入'!$D$5:$D$39,'員工更表輸入'!$A$5:$A$39,'設定 Settings'!$A$6,'員工更表輸入'!$B$5:$B$39,C$88)&lt;=0,Lists!$C$5&lt;SUMIFS('員工更表輸入'!$C$5:$C$39,'員工更表輸入'!$A$5:$A$39,'設定 Settings'!$A$6,'員工更表輸入'!$B$5:$B$39,C$88),Lists!$C$5&gt;=SUMIFS('員工更表輸入'!$D$5:$D$39,'員工更表輸入'!$A$5:$A$39,'設定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Settings'!$A$6,'員工更表輸入'!$B$5:$B$39,C$88)&gt;0,Lists!$C$5&gt;=SUMIFS('員工更表輸入'!$E$5:$E$39,'員工更表輸入'!$A$5:$A$39,'設定 Settings'!$A$6,'員工更表輸入'!$B$5:$B$39,C$88),Lists!$C$5&lt;SUMIFS('員工更表輸入'!$F$5:$F$39,'員工更表輸入'!$A$5:$A$39,'設定 Settings'!$A$6,'員工更表輸入'!$B$5:$B$39,C$88)),"Break","Work"))</f>
        <v/>
      </c>
      <c r="D92" s="24">
        <f>IF(OR(SUMIFS('員工更表輸入'!$D$5:$D$39,'員工更表輸入'!$A$5:$A$39,'設定 Settings'!$A$6,'員工更表輸入'!$B$5:$B$39,D$88)&lt;=0,Lists!$C$5&lt;SUMIFS('員工更表輸入'!$C$5:$C$39,'員工更表輸入'!$A$5:$A$39,'設定 Settings'!$A$6,'員工更表輸入'!$B$5:$B$39,D$88),Lists!$C$5&gt;=SUMIFS('員工更表輸入'!$D$5:$D$39,'員工更表輸入'!$A$5:$A$39,'設定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Settings'!$A$6,'員工更表輸入'!$B$5:$B$39,D$88)&gt;0,Lists!$C$5&gt;=SUMIFS('員工更表輸入'!$E$5:$E$39,'員工更表輸入'!$A$5:$A$39,'設定 Settings'!$A$6,'員工更表輸入'!$B$5:$B$39,D$88),Lists!$C$5&lt;SUMIFS('員工更表輸入'!$F$5:$F$39,'員工更表輸入'!$A$5:$A$39,'設定 Settings'!$A$6,'員工更表輸入'!$B$5:$B$39,D$88)),"Break","Work"))</f>
        <v/>
      </c>
      <c r="E92" s="24">
        <f>IF(OR(SUMIFS('員工更表輸入'!$D$5:$D$39,'員工更表輸入'!$A$5:$A$39,'設定 Settings'!$A$6,'員工更表輸入'!$B$5:$B$39,E$88)&lt;=0,Lists!$C$5&lt;SUMIFS('員工更表輸入'!$C$5:$C$39,'員工更表輸入'!$A$5:$A$39,'設定 Settings'!$A$6,'員工更表輸入'!$B$5:$B$39,E$88),Lists!$C$5&gt;=SUMIFS('員工更表輸入'!$D$5:$D$39,'員工更表輸入'!$A$5:$A$39,'設定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Settings'!$A$6,'員工更表輸入'!$B$5:$B$39,E$88)&gt;0,Lists!$C$5&gt;=SUMIFS('員工更表輸入'!$E$5:$E$39,'員工更表輸入'!$A$5:$A$39,'設定 Settings'!$A$6,'員工更表輸入'!$B$5:$B$39,E$88),Lists!$C$5&lt;SUMIFS('員工更表輸入'!$F$5:$F$39,'員工更表輸入'!$A$5:$A$39,'設定 Settings'!$A$6,'員工更表輸入'!$B$5:$B$39,E$88)),"Break","Work"))</f>
        <v/>
      </c>
      <c r="F92" s="24">
        <f>IF(OR(SUMIFS('員工更表輸入'!$D$5:$D$39,'員工更表輸入'!$A$5:$A$39,'設定 Settings'!$A$6,'員工更表輸入'!$B$5:$B$39,F$88)&lt;=0,Lists!$C$5&lt;SUMIFS('員工更表輸入'!$C$5:$C$39,'員工更表輸入'!$A$5:$A$39,'設定 Settings'!$A$6,'員工更表輸入'!$B$5:$B$39,F$88),Lists!$C$5&gt;=SUMIFS('員工更表輸入'!$D$5:$D$39,'員工更表輸入'!$A$5:$A$39,'設定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Settings'!$A$6,'員工更表輸入'!$B$5:$B$39,F$88)&gt;0,Lists!$C$5&gt;=SUMIFS('員工更表輸入'!$E$5:$E$39,'員工更表輸入'!$A$5:$A$39,'設定 Settings'!$A$6,'員工更表輸入'!$B$5:$B$39,F$88),Lists!$C$5&lt;SUMIFS('員工更表輸入'!$F$5:$F$39,'員工更表輸入'!$A$5:$A$39,'設定 Settings'!$A$6,'員工更表輸入'!$B$5:$B$39,F$88)),"Break","Work"))</f>
        <v/>
      </c>
      <c r="G92" s="24">
        <f>IF(OR(SUMIFS('員工更表輸入'!$D$5:$D$39,'員工更表輸入'!$A$5:$A$39,'設定 Settings'!$A$6,'員工更表輸入'!$B$5:$B$39,G$88)&lt;=0,Lists!$C$5&lt;SUMIFS('員工更表輸入'!$C$5:$C$39,'員工更表輸入'!$A$5:$A$39,'設定 Settings'!$A$6,'員工更表輸入'!$B$5:$B$39,G$88),Lists!$C$5&gt;=SUMIFS('員工更表輸入'!$D$5:$D$39,'員工更表輸入'!$A$5:$A$39,'設定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Settings'!$A$6,'員工更表輸入'!$B$5:$B$39,G$88)&gt;0,Lists!$C$5&gt;=SUMIFS('員工更表輸入'!$E$5:$E$39,'員工更表輸入'!$A$5:$A$39,'設定 Settings'!$A$6,'員工更表輸入'!$B$5:$B$39,G$88),Lists!$C$5&lt;SUMIFS('員工更表輸入'!$F$5:$F$39,'員工更表輸入'!$A$5:$A$39,'設定 Settings'!$A$6,'員工更表輸入'!$B$5:$B$39,G$88)),"Break","Work"))</f>
        <v/>
      </c>
      <c r="H92" s="24">
        <f>IF(OR(SUMIFS('員工更表輸入'!$D$5:$D$39,'員工更表輸入'!$A$5:$A$39,'設定 Settings'!$A$6,'員工更表輸入'!$B$5:$B$39,H$88)&lt;=0,Lists!$C$5&lt;SUMIFS('員工更表輸入'!$C$5:$C$39,'員工更表輸入'!$A$5:$A$39,'設定 Settings'!$A$6,'員工更表輸入'!$B$5:$B$39,H$88),Lists!$C$5&gt;=SUMIFS('員工更表輸入'!$D$5:$D$39,'員工更表輸入'!$A$5:$A$39,'設定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Settings'!$A$6,'員工更表輸入'!$B$5:$B$39,H$88)&gt;0,Lists!$C$5&gt;=SUMIFS('員工更表輸入'!$E$5:$E$39,'員工更表輸入'!$A$5:$A$39,'設定 Settings'!$A$6,'員工更表輸入'!$B$5:$B$39,H$88),Lists!$C$5&lt;SUMIFS('員工更表輸入'!$F$5:$F$39,'員工更表輸入'!$A$5:$A$39,'設定 Settings'!$A$6,'員工更表輸入'!$B$5:$B$39,H$88)),"Break","Work"))</f>
        <v/>
      </c>
    </row>
    <row r="93">
      <c r="A93" s="22" t="inlineStr">
        <is>
          <t>11:45am-12:15pm</t>
        </is>
      </c>
      <c r="B93" s="24">
        <f>IF(OR(SUMIFS('員工更表輸入'!$D$5:$D$39,'員工更表輸入'!$A$5:$A$39,'設定 Settings'!$A$6,'員工更表輸入'!$B$5:$B$39,B$88)&lt;=0,Lists!$C$6&lt;SUMIFS('員工更表輸入'!$C$5:$C$39,'員工更表輸入'!$A$5:$A$39,'設定 Settings'!$A$6,'員工更表輸入'!$B$5:$B$39,B$88),Lists!$C$6&gt;=SUMIFS('員工更表輸入'!$D$5:$D$39,'員工更表輸入'!$A$5:$A$39,'設定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Settings'!$A$6,'員工更表輸入'!$B$5:$B$39,B$88)&gt;0,Lists!$C$6&gt;=SUMIFS('員工更表輸入'!$E$5:$E$39,'員工更表輸入'!$A$5:$A$39,'設定 Settings'!$A$6,'員工更表輸入'!$B$5:$B$39,B$88),Lists!$C$6&lt;SUMIFS('員工更表輸入'!$F$5:$F$39,'員工更表輸入'!$A$5:$A$39,'設定 Settings'!$A$6,'員工更表輸入'!$B$5:$B$39,B$88)),"Break","Work"))</f>
        <v/>
      </c>
      <c r="C93" s="24">
        <f>IF(OR(SUMIFS('員工更表輸入'!$D$5:$D$39,'員工更表輸入'!$A$5:$A$39,'設定 Settings'!$A$6,'員工更表輸入'!$B$5:$B$39,C$88)&lt;=0,Lists!$C$6&lt;SUMIFS('員工更表輸入'!$C$5:$C$39,'員工更表輸入'!$A$5:$A$39,'設定 Settings'!$A$6,'員工更表輸入'!$B$5:$B$39,C$88),Lists!$C$6&gt;=SUMIFS('員工更表輸入'!$D$5:$D$39,'員工更表輸入'!$A$5:$A$39,'設定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Settings'!$A$6,'員工更表輸入'!$B$5:$B$39,C$88)&gt;0,Lists!$C$6&gt;=SUMIFS('員工更表輸入'!$E$5:$E$39,'員工更表輸入'!$A$5:$A$39,'設定 Settings'!$A$6,'員工更表輸入'!$B$5:$B$39,C$88),Lists!$C$6&lt;SUMIFS('員工更表輸入'!$F$5:$F$39,'員工更表輸入'!$A$5:$A$39,'設定 Settings'!$A$6,'員工更表輸入'!$B$5:$B$39,C$88)),"Break","Work"))</f>
        <v/>
      </c>
      <c r="D93" s="24">
        <f>IF(OR(SUMIFS('員工更表輸入'!$D$5:$D$39,'員工更表輸入'!$A$5:$A$39,'設定 Settings'!$A$6,'員工更表輸入'!$B$5:$B$39,D$88)&lt;=0,Lists!$C$6&lt;SUMIFS('員工更表輸入'!$C$5:$C$39,'員工更表輸入'!$A$5:$A$39,'設定 Settings'!$A$6,'員工更表輸入'!$B$5:$B$39,D$88),Lists!$C$6&gt;=SUMIFS('員工更表輸入'!$D$5:$D$39,'員工更表輸入'!$A$5:$A$39,'設定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Settings'!$A$6,'員工更表輸入'!$B$5:$B$39,D$88)&gt;0,Lists!$C$6&gt;=SUMIFS('員工更表輸入'!$E$5:$E$39,'員工更表輸入'!$A$5:$A$39,'設定 Settings'!$A$6,'員工更表輸入'!$B$5:$B$39,D$88),Lists!$C$6&lt;SUMIFS('員工更表輸入'!$F$5:$F$39,'員工更表輸入'!$A$5:$A$39,'設定 Settings'!$A$6,'員工更表輸入'!$B$5:$B$39,D$88)),"Break","Work"))</f>
        <v/>
      </c>
      <c r="E93" s="24">
        <f>IF(OR(SUMIFS('員工更表輸入'!$D$5:$D$39,'員工更表輸入'!$A$5:$A$39,'設定 Settings'!$A$6,'員工更表輸入'!$B$5:$B$39,E$88)&lt;=0,Lists!$C$6&lt;SUMIFS('員工更表輸入'!$C$5:$C$39,'員工更表輸入'!$A$5:$A$39,'設定 Settings'!$A$6,'員工更表輸入'!$B$5:$B$39,E$88),Lists!$C$6&gt;=SUMIFS('員工更表輸入'!$D$5:$D$39,'員工更表輸入'!$A$5:$A$39,'設定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Settings'!$A$6,'員工更表輸入'!$B$5:$B$39,E$88)&gt;0,Lists!$C$6&gt;=SUMIFS('員工更表輸入'!$E$5:$E$39,'員工更表輸入'!$A$5:$A$39,'設定 Settings'!$A$6,'員工更表輸入'!$B$5:$B$39,E$88),Lists!$C$6&lt;SUMIFS('員工更表輸入'!$F$5:$F$39,'員工更表輸入'!$A$5:$A$39,'設定 Settings'!$A$6,'員工更表輸入'!$B$5:$B$39,E$88)),"Break","Work"))</f>
        <v/>
      </c>
      <c r="F93" s="24">
        <f>IF(OR(SUMIFS('員工更表輸入'!$D$5:$D$39,'員工更表輸入'!$A$5:$A$39,'設定 Settings'!$A$6,'員工更表輸入'!$B$5:$B$39,F$88)&lt;=0,Lists!$C$6&lt;SUMIFS('員工更表輸入'!$C$5:$C$39,'員工更表輸入'!$A$5:$A$39,'設定 Settings'!$A$6,'員工更表輸入'!$B$5:$B$39,F$88),Lists!$C$6&gt;=SUMIFS('員工更表輸入'!$D$5:$D$39,'員工更表輸入'!$A$5:$A$39,'設定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Settings'!$A$6,'員工更表輸入'!$B$5:$B$39,F$88)&gt;0,Lists!$C$6&gt;=SUMIFS('員工更表輸入'!$E$5:$E$39,'員工更表輸入'!$A$5:$A$39,'設定 Settings'!$A$6,'員工更表輸入'!$B$5:$B$39,F$88),Lists!$C$6&lt;SUMIFS('員工更表輸入'!$F$5:$F$39,'員工更表輸入'!$A$5:$A$39,'設定 Settings'!$A$6,'員工更表輸入'!$B$5:$B$39,F$88)),"Break","Work"))</f>
        <v/>
      </c>
      <c r="G93" s="24">
        <f>IF(OR(SUMIFS('員工更表輸入'!$D$5:$D$39,'員工更表輸入'!$A$5:$A$39,'設定 Settings'!$A$6,'員工更表輸入'!$B$5:$B$39,G$88)&lt;=0,Lists!$C$6&lt;SUMIFS('員工更表輸入'!$C$5:$C$39,'員工更表輸入'!$A$5:$A$39,'設定 Settings'!$A$6,'員工更表輸入'!$B$5:$B$39,G$88),Lists!$C$6&gt;=SUMIFS('員工更表輸入'!$D$5:$D$39,'員工更表輸入'!$A$5:$A$39,'設定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Settings'!$A$6,'員工更表輸入'!$B$5:$B$39,G$88)&gt;0,Lists!$C$6&gt;=SUMIFS('員工更表輸入'!$E$5:$E$39,'員工更表輸入'!$A$5:$A$39,'設定 Settings'!$A$6,'員工更表輸入'!$B$5:$B$39,G$88),Lists!$C$6&lt;SUMIFS('員工更表輸入'!$F$5:$F$39,'員工更表輸入'!$A$5:$A$39,'設定 Settings'!$A$6,'員工更表輸入'!$B$5:$B$39,G$88)),"Break","Work"))</f>
        <v/>
      </c>
      <c r="H93" s="24">
        <f>IF(OR(SUMIFS('員工更表輸入'!$D$5:$D$39,'員工更表輸入'!$A$5:$A$39,'設定 Settings'!$A$6,'員工更表輸入'!$B$5:$B$39,H$88)&lt;=0,Lists!$C$6&lt;SUMIFS('員工更表輸入'!$C$5:$C$39,'員工更表輸入'!$A$5:$A$39,'設定 Settings'!$A$6,'員工更表輸入'!$B$5:$B$39,H$88),Lists!$C$6&gt;=SUMIFS('員工更表輸入'!$D$5:$D$39,'員工更表輸入'!$A$5:$A$39,'設定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Settings'!$A$6,'員工更表輸入'!$B$5:$B$39,H$88)&gt;0,Lists!$C$6&gt;=SUMIFS('員工更表輸入'!$E$5:$E$39,'員工更表輸入'!$A$5:$A$39,'設定 Settings'!$A$6,'員工更表輸入'!$B$5:$B$39,H$88),Lists!$C$6&lt;SUMIFS('員工更表輸入'!$F$5:$F$39,'員工更表輸入'!$A$5:$A$39,'設定 Settings'!$A$6,'員工更表輸入'!$B$5:$B$39,H$88)),"Break","Work"))</f>
        <v/>
      </c>
    </row>
    <row r="94">
      <c r="A94" s="22" t="inlineStr">
        <is>
          <t>12:15pm-12:45pm</t>
        </is>
      </c>
      <c r="B94" s="24">
        <f>IF(OR(SUMIFS('員工更表輸入'!$D$5:$D$39,'員工更表輸入'!$A$5:$A$39,'設定 Settings'!$A$6,'員工更表輸入'!$B$5:$B$39,B$88)&lt;=0,Lists!$C$7&lt;SUMIFS('員工更表輸入'!$C$5:$C$39,'員工更表輸入'!$A$5:$A$39,'設定 Settings'!$A$6,'員工更表輸入'!$B$5:$B$39,B$88),Lists!$C$7&gt;=SUMIFS('員工更表輸入'!$D$5:$D$39,'員工更表輸入'!$A$5:$A$39,'設定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Settings'!$A$6,'員工更表輸入'!$B$5:$B$39,B$88)&gt;0,Lists!$C$7&gt;=SUMIFS('員工更表輸入'!$E$5:$E$39,'員工更表輸入'!$A$5:$A$39,'設定 Settings'!$A$6,'員工更表輸入'!$B$5:$B$39,B$88),Lists!$C$7&lt;SUMIFS('員工更表輸入'!$F$5:$F$39,'員工更表輸入'!$A$5:$A$39,'設定 Settings'!$A$6,'員工更表輸入'!$B$5:$B$39,B$88)),"Break","Work"))</f>
        <v/>
      </c>
      <c r="C94" s="24">
        <f>IF(OR(SUMIFS('員工更表輸入'!$D$5:$D$39,'員工更表輸入'!$A$5:$A$39,'設定 Settings'!$A$6,'員工更表輸入'!$B$5:$B$39,C$88)&lt;=0,Lists!$C$7&lt;SUMIFS('員工更表輸入'!$C$5:$C$39,'員工更表輸入'!$A$5:$A$39,'設定 Settings'!$A$6,'員工更表輸入'!$B$5:$B$39,C$88),Lists!$C$7&gt;=SUMIFS('員工更表輸入'!$D$5:$D$39,'員工更表輸入'!$A$5:$A$39,'設定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Settings'!$A$6,'員工更表輸入'!$B$5:$B$39,C$88)&gt;0,Lists!$C$7&gt;=SUMIFS('員工更表輸入'!$E$5:$E$39,'員工更表輸入'!$A$5:$A$39,'設定 Settings'!$A$6,'員工更表輸入'!$B$5:$B$39,C$88),Lists!$C$7&lt;SUMIFS('員工更表輸入'!$F$5:$F$39,'員工更表輸入'!$A$5:$A$39,'設定 Settings'!$A$6,'員工更表輸入'!$B$5:$B$39,C$88)),"Break","Work"))</f>
        <v/>
      </c>
      <c r="D94" s="24">
        <f>IF(OR(SUMIFS('員工更表輸入'!$D$5:$D$39,'員工更表輸入'!$A$5:$A$39,'設定 Settings'!$A$6,'員工更表輸入'!$B$5:$B$39,D$88)&lt;=0,Lists!$C$7&lt;SUMIFS('員工更表輸入'!$C$5:$C$39,'員工更表輸入'!$A$5:$A$39,'設定 Settings'!$A$6,'員工更表輸入'!$B$5:$B$39,D$88),Lists!$C$7&gt;=SUMIFS('員工更表輸入'!$D$5:$D$39,'員工更表輸入'!$A$5:$A$39,'設定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Settings'!$A$6,'員工更表輸入'!$B$5:$B$39,D$88)&gt;0,Lists!$C$7&gt;=SUMIFS('員工更表輸入'!$E$5:$E$39,'員工更表輸入'!$A$5:$A$39,'設定 Settings'!$A$6,'員工更表輸入'!$B$5:$B$39,D$88),Lists!$C$7&lt;SUMIFS('員工更表輸入'!$F$5:$F$39,'員工更表輸入'!$A$5:$A$39,'設定 Settings'!$A$6,'員工更表輸入'!$B$5:$B$39,D$88)),"Break","Work"))</f>
        <v/>
      </c>
      <c r="E94" s="24">
        <f>IF(OR(SUMIFS('員工更表輸入'!$D$5:$D$39,'員工更表輸入'!$A$5:$A$39,'設定 Settings'!$A$6,'員工更表輸入'!$B$5:$B$39,E$88)&lt;=0,Lists!$C$7&lt;SUMIFS('員工更表輸入'!$C$5:$C$39,'員工更表輸入'!$A$5:$A$39,'設定 Settings'!$A$6,'員工更表輸入'!$B$5:$B$39,E$88),Lists!$C$7&gt;=SUMIFS('員工更表輸入'!$D$5:$D$39,'員工更表輸入'!$A$5:$A$39,'設定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Settings'!$A$6,'員工更表輸入'!$B$5:$B$39,E$88)&gt;0,Lists!$C$7&gt;=SUMIFS('員工更表輸入'!$E$5:$E$39,'員工更表輸入'!$A$5:$A$39,'設定 Settings'!$A$6,'員工更表輸入'!$B$5:$B$39,E$88),Lists!$C$7&lt;SUMIFS('員工更表輸入'!$F$5:$F$39,'員工更表輸入'!$A$5:$A$39,'設定 Settings'!$A$6,'員工更表輸入'!$B$5:$B$39,E$88)),"Break","Work"))</f>
        <v/>
      </c>
      <c r="F94" s="24">
        <f>IF(OR(SUMIFS('員工更表輸入'!$D$5:$D$39,'員工更表輸入'!$A$5:$A$39,'設定 Settings'!$A$6,'員工更表輸入'!$B$5:$B$39,F$88)&lt;=0,Lists!$C$7&lt;SUMIFS('員工更表輸入'!$C$5:$C$39,'員工更表輸入'!$A$5:$A$39,'設定 Settings'!$A$6,'員工更表輸入'!$B$5:$B$39,F$88),Lists!$C$7&gt;=SUMIFS('員工更表輸入'!$D$5:$D$39,'員工更表輸入'!$A$5:$A$39,'設定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Settings'!$A$6,'員工更表輸入'!$B$5:$B$39,F$88)&gt;0,Lists!$C$7&gt;=SUMIFS('員工更表輸入'!$E$5:$E$39,'員工更表輸入'!$A$5:$A$39,'設定 Settings'!$A$6,'員工更表輸入'!$B$5:$B$39,F$88),Lists!$C$7&lt;SUMIFS('員工更表輸入'!$F$5:$F$39,'員工更表輸入'!$A$5:$A$39,'設定 Settings'!$A$6,'員工更表輸入'!$B$5:$B$39,F$88)),"Break","Work"))</f>
        <v/>
      </c>
      <c r="G94" s="24">
        <f>IF(OR(SUMIFS('員工更表輸入'!$D$5:$D$39,'員工更表輸入'!$A$5:$A$39,'設定 Settings'!$A$6,'員工更表輸入'!$B$5:$B$39,G$88)&lt;=0,Lists!$C$7&lt;SUMIFS('員工更表輸入'!$C$5:$C$39,'員工更表輸入'!$A$5:$A$39,'設定 Settings'!$A$6,'員工更表輸入'!$B$5:$B$39,G$88),Lists!$C$7&gt;=SUMIFS('員工更表輸入'!$D$5:$D$39,'員工更表輸入'!$A$5:$A$39,'設定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Settings'!$A$6,'員工更表輸入'!$B$5:$B$39,G$88)&gt;0,Lists!$C$7&gt;=SUMIFS('員工更表輸入'!$E$5:$E$39,'員工更表輸入'!$A$5:$A$39,'設定 Settings'!$A$6,'員工更表輸入'!$B$5:$B$39,G$88),Lists!$C$7&lt;SUMIFS('員工更表輸入'!$F$5:$F$39,'員工更表輸入'!$A$5:$A$39,'設定 Settings'!$A$6,'員工更表輸入'!$B$5:$B$39,G$88)),"Break","Work"))</f>
        <v/>
      </c>
      <c r="H94" s="24">
        <f>IF(OR(SUMIFS('員工更表輸入'!$D$5:$D$39,'員工更表輸入'!$A$5:$A$39,'設定 Settings'!$A$6,'員工更表輸入'!$B$5:$B$39,H$88)&lt;=0,Lists!$C$7&lt;SUMIFS('員工更表輸入'!$C$5:$C$39,'員工更表輸入'!$A$5:$A$39,'設定 Settings'!$A$6,'員工更表輸入'!$B$5:$B$39,H$88),Lists!$C$7&gt;=SUMIFS('員工更表輸入'!$D$5:$D$39,'員工更表輸入'!$A$5:$A$39,'設定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Settings'!$A$6,'員工更表輸入'!$B$5:$B$39,H$88)&gt;0,Lists!$C$7&gt;=SUMIFS('員工更表輸入'!$E$5:$E$39,'員工更表輸入'!$A$5:$A$39,'設定 Settings'!$A$6,'員工更表輸入'!$B$5:$B$39,H$88),Lists!$C$7&lt;SUMIFS('員工更表輸入'!$F$5:$F$39,'員工更表輸入'!$A$5:$A$39,'設定 Settings'!$A$6,'員工更表輸入'!$B$5:$B$39,H$88)),"Break","Work"))</f>
        <v/>
      </c>
    </row>
    <row r="95">
      <c r="A95" s="22" t="inlineStr">
        <is>
          <t>12:45pm-1:15pm</t>
        </is>
      </c>
      <c r="B95" s="24">
        <f>IF(OR(SUMIFS('員工更表輸入'!$D$5:$D$39,'員工更表輸入'!$A$5:$A$39,'設定 Settings'!$A$6,'員工更表輸入'!$B$5:$B$39,B$88)&lt;=0,Lists!$C$8&lt;SUMIFS('員工更表輸入'!$C$5:$C$39,'員工更表輸入'!$A$5:$A$39,'設定 Settings'!$A$6,'員工更表輸入'!$B$5:$B$39,B$88),Lists!$C$8&gt;=SUMIFS('員工更表輸入'!$D$5:$D$39,'員工更表輸入'!$A$5:$A$39,'設定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Settings'!$A$6,'員工更表輸入'!$B$5:$B$39,B$88)&gt;0,Lists!$C$8&gt;=SUMIFS('員工更表輸入'!$E$5:$E$39,'員工更表輸入'!$A$5:$A$39,'設定 Settings'!$A$6,'員工更表輸入'!$B$5:$B$39,B$88),Lists!$C$8&lt;SUMIFS('員工更表輸入'!$F$5:$F$39,'員工更表輸入'!$A$5:$A$39,'設定 Settings'!$A$6,'員工更表輸入'!$B$5:$B$39,B$88)),"Break","Work"))</f>
        <v/>
      </c>
      <c r="C95" s="24">
        <f>IF(OR(SUMIFS('員工更表輸入'!$D$5:$D$39,'員工更表輸入'!$A$5:$A$39,'設定 Settings'!$A$6,'員工更表輸入'!$B$5:$B$39,C$88)&lt;=0,Lists!$C$8&lt;SUMIFS('員工更表輸入'!$C$5:$C$39,'員工更表輸入'!$A$5:$A$39,'設定 Settings'!$A$6,'員工更表輸入'!$B$5:$B$39,C$88),Lists!$C$8&gt;=SUMIFS('員工更表輸入'!$D$5:$D$39,'員工更表輸入'!$A$5:$A$39,'設定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Settings'!$A$6,'員工更表輸入'!$B$5:$B$39,C$88)&gt;0,Lists!$C$8&gt;=SUMIFS('員工更表輸入'!$E$5:$E$39,'員工更表輸入'!$A$5:$A$39,'設定 Settings'!$A$6,'員工更表輸入'!$B$5:$B$39,C$88),Lists!$C$8&lt;SUMIFS('員工更表輸入'!$F$5:$F$39,'員工更表輸入'!$A$5:$A$39,'設定 Settings'!$A$6,'員工更表輸入'!$B$5:$B$39,C$88)),"Break","Work"))</f>
        <v/>
      </c>
      <c r="D95" s="24">
        <f>IF(OR(SUMIFS('員工更表輸入'!$D$5:$D$39,'員工更表輸入'!$A$5:$A$39,'設定 Settings'!$A$6,'員工更表輸入'!$B$5:$B$39,D$88)&lt;=0,Lists!$C$8&lt;SUMIFS('員工更表輸入'!$C$5:$C$39,'員工更表輸入'!$A$5:$A$39,'設定 Settings'!$A$6,'員工更表輸入'!$B$5:$B$39,D$88),Lists!$C$8&gt;=SUMIFS('員工更表輸入'!$D$5:$D$39,'員工更表輸入'!$A$5:$A$39,'設定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Settings'!$A$6,'員工更表輸入'!$B$5:$B$39,D$88)&gt;0,Lists!$C$8&gt;=SUMIFS('員工更表輸入'!$E$5:$E$39,'員工更表輸入'!$A$5:$A$39,'設定 Settings'!$A$6,'員工更表輸入'!$B$5:$B$39,D$88),Lists!$C$8&lt;SUMIFS('員工更表輸入'!$F$5:$F$39,'員工更表輸入'!$A$5:$A$39,'設定 Settings'!$A$6,'員工更表輸入'!$B$5:$B$39,D$88)),"Break","Work"))</f>
        <v/>
      </c>
      <c r="E95" s="24">
        <f>IF(OR(SUMIFS('員工更表輸入'!$D$5:$D$39,'員工更表輸入'!$A$5:$A$39,'設定 Settings'!$A$6,'員工更表輸入'!$B$5:$B$39,E$88)&lt;=0,Lists!$C$8&lt;SUMIFS('員工更表輸入'!$C$5:$C$39,'員工更表輸入'!$A$5:$A$39,'設定 Settings'!$A$6,'員工更表輸入'!$B$5:$B$39,E$88),Lists!$C$8&gt;=SUMIFS('員工更表輸入'!$D$5:$D$39,'員工更表輸入'!$A$5:$A$39,'設定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Settings'!$A$6,'員工更表輸入'!$B$5:$B$39,E$88)&gt;0,Lists!$C$8&gt;=SUMIFS('員工更表輸入'!$E$5:$E$39,'員工更表輸入'!$A$5:$A$39,'設定 Settings'!$A$6,'員工更表輸入'!$B$5:$B$39,E$88),Lists!$C$8&lt;SUMIFS('員工更表輸入'!$F$5:$F$39,'員工更表輸入'!$A$5:$A$39,'設定 Settings'!$A$6,'員工更表輸入'!$B$5:$B$39,E$88)),"Break","Work"))</f>
        <v/>
      </c>
      <c r="F95" s="24">
        <f>IF(OR(SUMIFS('員工更表輸入'!$D$5:$D$39,'員工更表輸入'!$A$5:$A$39,'設定 Settings'!$A$6,'員工更表輸入'!$B$5:$B$39,F$88)&lt;=0,Lists!$C$8&lt;SUMIFS('員工更表輸入'!$C$5:$C$39,'員工更表輸入'!$A$5:$A$39,'設定 Settings'!$A$6,'員工更表輸入'!$B$5:$B$39,F$88),Lists!$C$8&gt;=SUMIFS('員工更表輸入'!$D$5:$D$39,'員工更表輸入'!$A$5:$A$39,'設定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Settings'!$A$6,'員工更表輸入'!$B$5:$B$39,F$88)&gt;0,Lists!$C$8&gt;=SUMIFS('員工更表輸入'!$E$5:$E$39,'員工更表輸入'!$A$5:$A$39,'設定 Settings'!$A$6,'員工更表輸入'!$B$5:$B$39,F$88),Lists!$C$8&lt;SUMIFS('員工更表輸入'!$F$5:$F$39,'員工更表輸入'!$A$5:$A$39,'設定 Settings'!$A$6,'員工更表輸入'!$B$5:$B$39,F$88)),"Break","Work"))</f>
        <v/>
      </c>
      <c r="G95" s="24">
        <f>IF(OR(SUMIFS('員工更表輸入'!$D$5:$D$39,'員工更表輸入'!$A$5:$A$39,'設定 Settings'!$A$6,'員工更表輸入'!$B$5:$B$39,G$88)&lt;=0,Lists!$C$8&lt;SUMIFS('員工更表輸入'!$C$5:$C$39,'員工更表輸入'!$A$5:$A$39,'設定 Settings'!$A$6,'員工更表輸入'!$B$5:$B$39,G$88),Lists!$C$8&gt;=SUMIFS('員工更表輸入'!$D$5:$D$39,'員工更表輸入'!$A$5:$A$39,'設定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Settings'!$A$6,'員工更表輸入'!$B$5:$B$39,G$88)&gt;0,Lists!$C$8&gt;=SUMIFS('員工更表輸入'!$E$5:$E$39,'員工更表輸入'!$A$5:$A$39,'設定 Settings'!$A$6,'員工更表輸入'!$B$5:$B$39,G$88),Lists!$C$8&lt;SUMIFS('員工更表輸入'!$F$5:$F$39,'員工更表輸入'!$A$5:$A$39,'設定 Settings'!$A$6,'員工更表輸入'!$B$5:$B$39,G$88)),"Break","Work"))</f>
        <v/>
      </c>
      <c r="H95" s="24">
        <f>IF(OR(SUMIFS('員工更表輸入'!$D$5:$D$39,'員工更表輸入'!$A$5:$A$39,'設定 Settings'!$A$6,'員工更表輸入'!$B$5:$B$39,H$88)&lt;=0,Lists!$C$8&lt;SUMIFS('員工更表輸入'!$C$5:$C$39,'員工更表輸入'!$A$5:$A$39,'設定 Settings'!$A$6,'員工更表輸入'!$B$5:$B$39,H$88),Lists!$C$8&gt;=SUMIFS('員工更表輸入'!$D$5:$D$39,'員工更表輸入'!$A$5:$A$39,'設定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Settings'!$A$6,'員工更表輸入'!$B$5:$B$39,H$88)&gt;0,Lists!$C$8&gt;=SUMIFS('員工更表輸入'!$E$5:$E$39,'員工更表輸入'!$A$5:$A$39,'設定 Settings'!$A$6,'員工更表輸入'!$B$5:$B$39,H$88),Lists!$C$8&lt;SUMIFS('員工更表輸入'!$F$5:$F$39,'員工更表輸入'!$A$5:$A$39,'設定 Settings'!$A$6,'員工更表輸入'!$B$5:$B$39,H$88)),"Break","Work"))</f>
        <v/>
      </c>
    </row>
    <row r="96">
      <c r="A96" s="22" t="inlineStr">
        <is>
          <t>1:15pm-1:45pm</t>
        </is>
      </c>
      <c r="B96" s="24">
        <f>IF(OR(SUMIFS('員工更表輸入'!$D$5:$D$39,'員工更表輸入'!$A$5:$A$39,'設定 Settings'!$A$6,'員工更表輸入'!$B$5:$B$39,B$88)&lt;=0,Lists!$C$9&lt;SUMIFS('員工更表輸入'!$C$5:$C$39,'員工更表輸入'!$A$5:$A$39,'設定 Settings'!$A$6,'員工更表輸入'!$B$5:$B$39,B$88),Lists!$C$9&gt;=SUMIFS('員工更表輸入'!$D$5:$D$39,'員工更表輸入'!$A$5:$A$39,'設定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Settings'!$A$6,'員工更表輸入'!$B$5:$B$39,B$88)&gt;0,Lists!$C$9&gt;=SUMIFS('員工更表輸入'!$E$5:$E$39,'員工更表輸入'!$A$5:$A$39,'設定 Settings'!$A$6,'員工更表輸入'!$B$5:$B$39,B$88),Lists!$C$9&lt;SUMIFS('員工更表輸入'!$F$5:$F$39,'員工更表輸入'!$A$5:$A$39,'設定 Settings'!$A$6,'員工更表輸入'!$B$5:$B$39,B$88)),"Break","Work"))</f>
        <v/>
      </c>
      <c r="C96" s="24">
        <f>IF(OR(SUMIFS('員工更表輸入'!$D$5:$D$39,'員工更表輸入'!$A$5:$A$39,'設定 Settings'!$A$6,'員工更表輸入'!$B$5:$B$39,C$88)&lt;=0,Lists!$C$9&lt;SUMIFS('員工更表輸入'!$C$5:$C$39,'員工更表輸入'!$A$5:$A$39,'設定 Settings'!$A$6,'員工更表輸入'!$B$5:$B$39,C$88),Lists!$C$9&gt;=SUMIFS('員工更表輸入'!$D$5:$D$39,'員工更表輸入'!$A$5:$A$39,'設定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Settings'!$A$6,'員工更表輸入'!$B$5:$B$39,C$88)&gt;0,Lists!$C$9&gt;=SUMIFS('員工更表輸入'!$E$5:$E$39,'員工更表輸入'!$A$5:$A$39,'設定 Settings'!$A$6,'員工更表輸入'!$B$5:$B$39,C$88),Lists!$C$9&lt;SUMIFS('員工更表輸入'!$F$5:$F$39,'員工更表輸入'!$A$5:$A$39,'設定 Settings'!$A$6,'員工更表輸入'!$B$5:$B$39,C$88)),"Break","Work"))</f>
        <v/>
      </c>
      <c r="D96" s="24">
        <f>IF(OR(SUMIFS('員工更表輸入'!$D$5:$D$39,'員工更表輸入'!$A$5:$A$39,'設定 Settings'!$A$6,'員工更表輸入'!$B$5:$B$39,D$88)&lt;=0,Lists!$C$9&lt;SUMIFS('員工更表輸入'!$C$5:$C$39,'員工更表輸入'!$A$5:$A$39,'設定 Settings'!$A$6,'員工更表輸入'!$B$5:$B$39,D$88),Lists!$C$9&gt;=SUMIFS('員工更表輸入'!$D$5:$D$39,'員工更表輸入'!$A$5:$A$39,'設定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Settings'!$A$6,'員工更表輸入'!$B$5:$B$39,D$88)&gt;0,Lists!$C$9&gt;=SUMIFS('員工更表輸入'!$E$5:$E$39,'員工更表輸入'!$A$5:$A$39,'設定 Settings'!$A$6,'員工更表輸入'!$B$5:$B$39,D$88),Lists!$C$9&lt;SUMIFS('員工更表輸入'!$F$5:$F$39,'員工更表輸入'!$A$5:$A$39,'設定 Settings'!$A$6,'員工更表輸入'!$B$5:$B$39,D$88)),"Break","Work"))</f>
        <v/>
      </c>
      <c r="E96" s="24">
        <f>IF(OR(SUMIFS('員工更表輸入'!$D$5:$D$39,'員工更表輸入'!$A$5:$A$39,'設定 Settings'!$A$6,'員工更表輸入'!$B$5:$B$39,E$88)&lt;=0,Lists!$C$9&lt;SUMIFS('員工更表輸入'!$C$5:$C$39,'員工更表輸入'!$A$5:$A$39,'設定 Settings'!$A$6,'員工更表輸入'!$B$5:$B$39,E$88),Lists!$C$9&gt;=SUMIFS('員工更表輸入'!$D$5:$D$39,'員工更表輸入'!$A$5:$A$39,'設定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Settings'!$A$6,'員工更表輸入'!$B$5:$B$39,E$88)&gt;0,Lists!$C$9&gt;=SUMIFS('員工更表輸入'!$E$5:$E$39,'員工更表輸入'!$A$5:$A$39,'設定 Settings'!$A$6,'員工更表輸入'!$B$5:$B$39,E$88),Lists!$C$9&lt;SUMIFS('員工更表輸入'!$F$5:$F$39,'員工更表輸入'!$A$5:$A$39,'設定 Settings'!$A$6,'員工更表輸入'!$B$5:$B$39,E$88)),"Break","Work"))</f>
        <v/>
      </c>
      <c r="F96" s="24">
        <f>IF(OR(SUMIFS('員工更表輸入'!$D$5:$D$39,'員工更表輸入'!$A$5:$A$39,'設定 Settings'!$A$6,'員工更表輸入'!$B$5:$B$39,F$88)&lt;=0,Lists!$C$9&lt;SUMIFS('員工更表輸入'!$C$5:$C$39,'員工更表輸入'!$A$5:$A$39,'設定 Settings'!$A$6,'員工更表輸入'!$B$5:$B$39,F$88),Lists!$C$9&gt;=SUMIFS('員工更表輸入'!$D$5:$D$39,'員工更表輸入'!$A$5:$A$39,'設定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Settings'!$A$6,'員工更表輸入'!$B$5:$B$39,F$88)&gt;0,Lists!$C$9&gt;=SUMIFS('員工更表輸入'!$E$5:$E$39,'員工更表輸入'!$A$5:$A$39,'設定 Settings'!$A$6,'員工更表輸入'!$B$5:$B$39,F$88),Lists!$C$9&lt;SUMIFS('員工更表輸入'!$F$5:$F$39,'員工更表輸入'!$A$5:$A$39,'設定 Settings'!$A$6,'員工更表輸入'!$B$5:$B$39,F$88)),"Break","Work"))</f>
        <v/>
      </c>
      <c r="G96" s="24">
        <f>IF(OR(SUMIFS('員工更表輸入'!$D$5:$D$39,'員工更表輸入'!$A$5:$A$39,'設定 Settings'!$A$6,'員工更表輸入'!$B$5:$B$39,G$88)&lt;=0,Lists!$C$9&lt;SUMIFS('員工更表輸入'!$C$5:$C$39,'員工更表輸入'!$A$5:$A$39,'設定 Settings'!$A$6,'員工更表輸入'!$B$5:$B$39,G$88),Lists!$C$9&gt;=SUMIFS('員工更表輸入'!$D$5:$D$39,'員工更表輸入'!$A$5:$A$39,'設定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Settings'!$A$6,'員工更表輸入'!$B$5:$B$39,G$88)&gt;0,Lists!$C$9&gt;=SUMIFS('員工更表輸入'!$E$5:$E$39,'員工更表輸入'!$A$5:$A$39,'設定 Settings'!$A$6,'員工更表輸入'!$B$5:$B$39,G$88),Lists!$C$9&lt;SUMIFS('員工更表輸入'!$F$5:$F$39,'員工更表輸入'!$A$5:$A$39,'設定 Settings'!$A$6,'員工更表輸入'!$B$5:$B$39,G$88)),"Break","Work"))</f>
        <v/>
      </c>
      <c r="H96" s="24">
        <f>IF(OR(SUMIFS('員工更表輸入'!$D$5:$D$39,'員工更表輸入'!$A$5:$A$39,'設定 Settings'!$A$6,'員工更表輸入'!$B$5:$B$39,H$88)&lt;=0,Lists!$C$9&lt;SUMIFS('員工更表輸入'!$C$5:$C$39,'員工更表輸入'!$A$5:$A$39,'設定 Settings'!$A$6,'員工更表輸入'!$B$5:$B$39,H$88),Lists!$C$9&gt;=SUMIFS('員工更表輸入'!$D$5:$D$39,'員工更表輸入'!$A$5:$A$39,'設定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Settings'!$A$6,'員工更表輸入'!$B$5:$B$39,H$88)&gt;0,Lists!$C$9&gt;=SUMIFS('員工更表輸入'!$E$5:$E$39,'員工更表輸入'!$A$5:$A$39,'設定 Settings'!$A$6,'員工更表輸入'!$B$5:$B$39,H$88),Lists!$C$9&lt;SUMIFS('員工更表輸入'!$F$5:$F$39,'員工更表輸入'!$A$5:$A$39,'設定 Settings'!$A$6,'員工更表輸入'!$B$5:$B$39,H$88)),"Break","Work"))</f>
        <v/>
      </c>
    </row>
    <row r="97">
      <c r="A97" s="22" t="inlineStr">
        <is>
          <t>1:45pm-2:15pm</t>
        </is>
      </c>
      <c r="B97" s="24">
        <f>IF(OR(SUMIFS('員工更表輸入'!$D$5:$D$39,'員工更表輸入'!$A$5:$A$39,'設定 Settings'!$A$6,'員工更表輸入'!$B$5:$B$39,B$88)&lt;=0,Lists!$C$10&lt;SUMIFS('員工更表輸入'!$C$5:$C$39,'員工更表輸入'!$A$5:$A$39,'設定 Settings'!$A$6,'員工更表輸入'!$B$5:$B$39,B$88),Lists!$C$10&gt;=SUMIFS('員工更表輸入'!$D$5:$D$39,'員工更表輸入'!$A$5:$A$39,'設定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Settings'!$A$6,'員工更表輸入'!$B$5:$B$39,B$88)&gt;0,Lists!$C$10&gt;=SUMIFS('員工更表輸入'!$E$5:$E$39,'員工更表輸入'!$A$5:$A$39,'設定 Settings'!$A$6,'員工更表輸入'!$B$5:$B$39,B$88),Lists!$C$10&lt;SUMIFS('員工更表輸入'!$F$5:$F$39,'員工更表輸入'!$A$5:$A$39,'設定 Settings'!$A$6,'員工更表輸入'!$B$5:$B$39,B$88)),"Break","Work"))</f>
        <v/>
      </c>
      <c r="C97" s="24">
        <f>IF(OR(SUMIFS('員工更表輸入'!$D$5:$D$39,'員工更表輸入'!$A$5:$A$39,'設定 Settings'!$A$6,'員工更表輸入'!$B$5:$B$39,C$88)&lt;=0,Lists!$C$10&lt;SUMIFS('員工更表輸入'!$C$5:$C$39,'員工更表輸入'!$A$5:$A$39,'設定 Settings'!$A$6,'員工更表輸入'!$B$5:$B$39,C$88),Lists!$C$10&gt;=SUMIFS('員工更表輸入'!$D$5:$D$39,'員工更表輸入'!$A$5:$A$39,'設定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Settings'!$A$6,'員工更表輸入'!$B$5:$B$39,C$88)&gt;0,Lists!$C$10&gt;=SUMIFS('員工更表輸入'!$E$5:$E$39,'員工更表輸入'!$A$5:$A$39,'設定 Settings'!$A$6,'員工更表輸入'!$B$5:$B$39,C$88),Lists!$C$10&lt;SUMIFS('員工更表輸入'!$F$5:$F$39,'員工更表輸入'!$A$5:$A$39,'設定 Settings'!$A$6,'員工更表輸入'!$B$5:$B$39,C$88)),"Break","Work"))</f>
        <v/>
      </c>
      <c r="D97" s="24">
        <f>IF(OR(SUMIFS('員工更表輸入'!$D$5:$D$39,'員工更表輸入'!$A$5:$A$39,'設定 Settings'!$A$6,'員工更表輸入'!$B$5:$B$39,D$88)&lt;=0,Lists!$C$10&lt;SUMIFS('員工更表輸入'!$C$5:$C$39,'員工更表輸入'!$A$5:$A$39,'設定 Settings'!$A$6,'員工更表輸入'!$B$5:$B$39,D$88),Lists!$C$10&gt;=SUMIFS('員工更表輸入'!$D$5:$D$39,'員工更表輸入'!$A$5:$A$39,'設定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Settings'!$A$6,'員工更表輸入'!$B$5:$B$39,D$88)&gt;0,Lists!$C$10&gt;=SUMIFS('員工更表輸入'!$E$5:$E$39,'員工更表輸入'!$A$5:$A$39,'設定 Settings'!$A$6,'員工更表輸入'!$B$5:$B$39,D$88),Lists!$C$10&lt;SUMIFS('員工更表輸入'!$F$5:$F$39,'員工更表輸入'!$A$5:$A$39,'設定 Settings'!$A$6,'員工更表輸入'!$B$5:$B$39,D$88)),"Break","Work"))</f>
        <v/>
      </c>
      <c r="E97" s="24">
        <f>IF(OR(SUMIFS('員工更表輸入'!$D$5:$D$39,'員工更表輸入'!$A$5:$A$39,'設定 Settings'!$A$6,'員工更表輸入'!$B$5:$B$39,E$88)&lt;=0,Lists!$C$10&lt;SUMIFS('員工更表輸入'!$C$5:$C$39,'員工更表輸入'!$A$5:$A$39,'設定 Settings'!$A$6,'員工更表輸入'!$B$5:$B$39,E$88),Lists!$C$10&gt;=SUMIFS('員工更表輸入'!$D$5:$D$39,'員工更表輸入'!$A$5:$A$39,'設定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Settings'!$A$6,'員工更表輸入'!$B$5:$B$39,E$88)&gt;0,Lists!$C$10&gt;=SUMIFS('員工更表輸入'!$E$5:$E$39,'員工更表輸入'!$A$5:$A$39,'設定 Settings'!$A$6,'員工更表輸入'!$B$5:$B$39,E$88),Lists!$C$10&lt;SUMIFS('員工更表輸入'!$F$5:$F$39,'員工更表輸入'!$A$5:$A$39,'設定 Settings'!$A$6,'員工更表輸入'!$B$5:$B$39,E$88)),"Break","Work"))</f>
        <v/>
      </c>
      <c r="F97" s="24">
        <f>IF(OR(SUMIFS('員工更表輸入'!$D$5:$D$39,'員工更表輸入'!$A$5:$A$39,'設定 Settings'!$A$6,'員工更表輸入'!$B$5:$B$39,F$88)&lt;=0,Lists!$C$10&lt;SUMIFS('員工更表輸入'!$C$5:$C$39,'員工更表輸入'!$A$5:$A$39,'設定 Settings'!$A$6,'員工更表輸入'!$B$5:$B$39,F$88),Lists!$C$10&gt;=SUMIFS('員工更表輸入'!$D$5:$D$39,'員工更表輸入'!$A$5:$A$39,'設定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Settings'!$A$6,'員工更表輸入'!$B$5:$B$39,F$88)&gt;0,Lists!$C$10&gt;=SUMIFS('員工更表輸入'!$E$5:$E$39,'員工更表輸入'!$A$5:$A$39,'設定 Settings'!$A$6,'員工更表輸入'!$B$5:$B$39,F$88),Lists!$C$10&lt;SUMIFS('員工更表輸入'!$F$5:$F$39,'員工更表輸入'!$A$5:$A$39,'設定 Settings'!$A$6,'員工更表輸入'!$B$5:$B$39,F$88)),"Break","Work"))</f>
        <v/>
      </c>
      <c r="G97" s="24">
        <f>IF(OR(SUMIFS('員工更表輸入'!$D$5:$D$39,'員工更表輸入'!$A$5:$A$39,'設定 Settings'!$A$6,'員工更表輸入'!$B$5:$B$39,G$88)&lt;=0,Lists!$C$10&lt;SUMIFS('員工更表輸入'!$C$5:$C$39,'員工更表輸入'!$A$5:$A$39,'設定 Settings'!$A$6,'員工更表輸入'!$B$5:$B$39,G$88),Lists!$C$10&gt;=SUMIFS('員工更表輸入'!$D$5:$D$39,'員工更表輸入'!$A$5:$A$39,'設定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Settings'!$A$6,'員工更表輸入'!$B$5:$B$39,G$88)&gt;0,Lists!$C$10&gt;=SUMIFS('員工更表輸入'!$E$5:$E$39,'員工更表輸入'!$A$5:$A$39,'設定 Settings'!$A$6,'員工更表輸入'!$B$5:$B$39,G$88),Lists!$C$10&lt;SUMIFS('員工更表輸入'!$F$5:$F$39,'員工更表輸入'!$A$5:$A$39,'設定 Settings'!$A$6,'員工更表輸入'!$B$5:$B$39,G$88)),"Break","Work"))</f>
        <v/>
      </c>
      <c r="H97" s="24">
        <f>IF(OR(SUMIFS('員工更表輸入'!$D$5:$D$39,'員工更表輸入'!$A$5:$A$39,'設定 Settings'!$A$6,'員工更表輸入'!$B$5:$B$39,H$88)&lt;=0,Lists!$C$10&lt;SUMIFS('員工更表輸入'!$C$5:$C$39,'員工更表輸入'!$A$5:$A$39,'設定 Settings'!$A$6,'員工更表輸入'!$B$5:$B$39,H$88),Lists!$C$10&gt;=SUMIFS('員工更表輸入'!$D$5:$D$39,'員工更表輸入'!$A$5:$A$39,'設定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Settings'!$A$6,'員工更表輸入'!$B$5:$B$39,H$88)&gt;0,Lists!$C$10&gt;=SUMIFS('員工更表輸入'!$E$5:$E$39,'員工更表輸入'!$A$5:$A$39,'設定 Settings'!$A$6,'員工更表輸入'!$B$5:$B$39,H$88),Lists!$C$10&lt;SUMIFS('員工更表輸入'!$F$5:$F$39,'員工更表輸入'!$A$5:$A$39,'設定 Settings'!$A$6,'員工更表輸入'!$B$5:$B$39,H$88)),"Break","Work"))</f>
        <v/>
      </c>
    </row>
    <row r="98">
      <c r="A98" s="22" t="inlineStr">
        <is>
          <t>2:15pm-2:45pm</t>
        </is>
      </c>
      <c r="B98" s="24">
        <f>IF(OR(SUMIFS('員工更表輸入'!$D$5:$D$39,'員工更表輸入'!$A$5:$A$39,'設定 Settings'!$A$6,'員工更表輸入'!$B$5:$B$39,B$88)&lt;=0,Lists!$C$11&lt;SUMIFS('員工更表輸入'!$C$5:$C$39,'員工更表輸入'!$A$5:$A$39,'設定 Settings'!$A$6,'員工更表輸入'!$B$5:$B$39,B$88),Lists!$C$11&gt;=SUMIFS('員工更表輸入'!$D$5:$D$39,'員工更表輸入'!$A$5:$A$39,'設定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Settings'!$A$6,'員工更表輸入'!$B$5:$B$39,B$88)&gt;0,Lists!$C$11&gt;=SUMIFS('員工更表輸入'!$E$5:$E$39,'員工更表輸入'!$A$5:$A$39,'設定 Settings'!$A$6,'員工更表輸入'!$B$5:$B$39,B$88),Lists!$C$11&lt;SUMIFS('員工更表輸入'!$F$5:$F$39,'員工更表輸入'!$A$5:$A$39,'設定 Settings'!$A$6,'員工更表輸入'!$B$5:$B$39,B$88)),"Break","Work"))</f>
        <v/>
      </c>
      <c r="C98" s="24">
        <f>IF(OR(SUMIFS('員工更表輸入'!$D$5:$D$39,'員工更表輸入'!$A$5:$A$39,'設定 Settings'!$A$6,'員工更表輸入'!$B$5:$B$39,C$88)&lt;=0,Lists!$C$11&lt;SUMIFS('員工更表輸入'!$C$5:$C$39,'員工更表輸入'!$A$5:$A$39,'設定 Settings'!$A$6,'員工更表輸入'!$B$5:$B$39,C$88),Lists!$C$11&gt;=SUMIFS('員工更表輸入'!$D$5:$D$39,'員工更表輸入'!$A$5:$A$39,'設定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Settings'!$A$6,'員工更表輸入'!$B$5:$B$39,C$88)&gt;0,Lists!$C$11&gt;=SUMIFS('員工更表輸入'!$E$5:$E$39,'員工更表輸入'!$A$5:$A$39,'設定 Settings'!$A$6,'員工更表輸入'!$B$5:$B$39,C$88),Lists!$C$11&lt;SUMIFS('員工更表輸入'!$F$5:$F$39,'員工更表輸入'!$A$5:$A$39,'設定 Settings'!$A$6,'員工更表輸入'!$B$5:$B$39,C$88)),"Break","Work"))</f>
        <v/>
      </c>
      <c r="D98" s="24">
        <f>IF(OR(SUMIFS('員工更表輸入'!$D$5:$D$39,'員工更表輸入'!$A$5:$A$39,'設定 Settings'!$A$6,'員工更表輸入'!$B$5:$B$39,D$88)&lt;=0,Lists!$C$11&lt;SUMIFS('員工更表輸入'!$C$5:$C$39,'員工更表輸入'!$A$5:$A$39,'設定 Settings'!$A$6,'員工更表輸入'!$B$5:$B$39,D$88),Lists!$C$11&gt;=SUMIFS('員工更表輸入'!$D$5:$D$39,'員工更表輸入'!$A$5:$A$39,'設定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Settings'!$A$6,'員工更表輸入'!$B$5:$B$39,D$88)&gt;0,Lists!$C$11&gt;=SUMIFS('員工更表輸入'!$E$5:$E$39,'員工更表輸入'!$A$5:$A$39,'設定 Settings'!$A$6,'員工更表輸入'!$B$5:$B$39,D$88),Lists!$C$11&lt;SUMIFS('員工更表輸入'!$F$5:$F$39,'員工更表輸入'!$A$5:$A$39,'設定 Settings'!$A$6,'員工更表輸入'!$B$5:$B$39,D$88)),"Break","Work"))</f>
        <v/>
      </c>
      <c r="E98" s="24">
        <f>IF(OR(SUMIFS('員工更表輸入'!$D$5:$D$39,'員工更表輸入'!$A$5:$A$39,'設定 Settings'!$A$6,'員工更表輸入'!$B$5:$B$39,E$88)&lt;=0,Lists!$C$11&lt;SUMIFS('員工更表輸入'!$C$5:$C$39,'員工更表輸入'!$A$5:$A$39,'設定 Settings'!$A$6,'員工更表輸入'!$B$5:$B$39,E$88),Lists!$C$11&gt;=SUMIFS('員工更表輸入'!$D$5:$D$39,'員工更表輸入'!$A$5:$A$39,'設定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Settings'!$A$6,'員工更表輸入'!$B$5:$B$39,E$88)&gt;0,Lists!$C$11&gt;=SUMIFS('員工更表輸入'!$E$5:$E$39,'員工更表輸入'!$A$5:$A$39,'設定 Settings'!$A$6,'員工更表輸入'!$B$5:$B$39,E$88),Lists!$C$11&lt;SUMIFS('員工更表輸入'!$F$5:$F$39,'員工更表輸入'!$A$5:$A$39,'設定 Settings'!$A$6,'員工更表輸入'!$B$5:$B$39,E$88)),"Break","Work"))</f>
        <v/>
      </c>
      <c r="F98" s="24">
        <f>IF(OR(SUMIFS('員工更表輸入'!$D$5:$D$39,'員工更表輸入'!$A$5:$A$39,'設定 Settings'!$A$6,'員工更表輸入'!$B$5:$B$39,F$88)&lt;=0,Lists!$C$11&lt;SUMIFS('員工更表輸入'!$C$5:$C$39,'員工更表輸入'!$A$5:$A$39,'設定 Settings'!$A$6,'員工更表輸入'!$B$5:$B$39,F$88),Lists!$C$11&gt;=SUMIFS('員工更表輸入'!$D$5:$D$39,'員工更表輸入'!$A$5:$A$39,'設定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Settings'!$A$6,'員工更表輸入'!$B$5:$B$39,F$88)&gt;0,Lists!$C$11&gt;=SUMIFS('員工更表輸入'!$E$5:$E$39,'員工更表輸入'!$A$5:$A$39,'設定 Settings'!$A$6,'員工更表輸入'!$B$5:$B$39,F$88),Lists!$C$11&lt;SUMIFS('員工更表輸入'!$F$5:$F$39,'員工更表輸入'!$A$5:$A$39,'設定 Settings'!$A$6,'員工更表輸入'!$B$5:$B$39,F$88)),"Break","Work"))</f>
        <v/>
      </c>
      <c r="G98" s="24">
        <f>IF(OR(SUMIFS('員工更表輸入'!$D$5:$D$39,'員工更表輸入'!$A$5:$A$39,'設定 Settings'!$A$6,'員工更表輸入'!$B$5:$B$39,G$88)&lt;=0,Lists!$C$11&lt;SUMIFS('員工更表輸入'!$C$5:$C$39,'員工更表輸入'!$A$5:$A$39,'設定 Settings'!$A$6,'員工更表輸入'!$B$5:$B$39,G$88),Lists!$C$11&gt;=SUMIFS('員工更表輸入'!$D$5:$D$39,'員工更表輸入'!$A$5:$A$39,'設定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Settings'!$A$6,'員工更表輸入'!$B$5:$B$39,G$88)&gt;0,Lists!$C$11&gt;=SUMIFS('員工更表輸入'!$E$5:$E$39,'員工更表輸入'!$A$5:$A$39,'設定 Settings'!$A$6,'員工更表輸入'!$B$5:$B$39,G$88),Lists!$C$11&lt;SUMIFS('員工更表輸入'!$F$5:$F$39,'員工更表輸入'!$A$5:$A$39,'設定 Settings'!$A$6,'員工更表輸入'!$B$5:$B$39,G$88)),"Break","Work"))</f>
        <v/>
      </c>
      <c r="H98" s="24">
        <f>IF(OR(SUMIFS('員工更表輸入'!$D$5:$D$39,'員工更表輸入'!$A$5:$A$39,'設定 Settings'!$A$6,'員工更表輸入'!$B$5:$B$39,H$88)&lt;=0,Lists!$C$11&lt;SUMIFS('員工更表輸入'!$C$5:$C$39,'員工更表輸入'!$A$5:$A$39,'設定 Settings'!$A$6,'員工更表輸入'!$B$5:$B$39,H$88),Lists!$C$11&gt;=SUMIFS('員工更表輸入'!$D$5:$D$39,'員工更表輸入'!$A$5:$A$39,'設定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Settings'!$A$6,'員工更表輸入'!$B$5:$B$39,H$88)&gt;0,Lists!$C$11&gt;=SUMIFS('員工更表輸入'!$E$5:$E$39,'員工更表輸入'!$A$5:$A$39,'設定 Settings'!$A$6,'員工更表輸入'!$B$5:$B$39,H$88),Lists!$C$11&lt;SUMIFS('員工更表輸入'!$F$5:$F$39,'員工更表輸入'!$A$5:$A$39,'設定 Settings'!$A$6,'員工更表輸入'!$B$5:$B$39,H$88)),"Break","Work"))</f>
        <v/>
      </c>
    </row>
    <row r="99">
      <c r="A99" s="22" t="inlineStr">
        <is>
          <t>2:45pm-3:15pm</t>
        </is>
      </c>
      <c r="B99" s="24">
        <f>IF(OR(SUMIFS('員工更表輸入'!$D$5:$D$39,'員工更表輸入'!$A$5:$A$39,'設定 Settings'!$A$6,'員工更表輸入'!$B$5:$B$39,B$88)&lt;=0,Lists!$C$12&lt;SUMIFS('員工更表輸入'!$C$5:$C$39,'員工更表輸入'!$A$5:$A$39,'設定 Settings'!$A$6,'員工更表輸入'!$B$5:$B$39,B$88),Lists!$C$12&gt;=SUMIFS('員工更表輸入'!$D$5:$D$39,'員工更表輸入'!$A$5:$A$39,'設定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Settings'!$A$6,'員工更表輸入'!$B$5:$B$39,B$88)&gt;0,Lists!$C$12&gt;=SUMIFS('員工更表輸入'!$E$5:$E$39,'員工更表輸入'!$A$5:$A$39,'設定 Settings'!$A$6,'員工更表輸入'!$B$5:$B$39,B$88),Lists!$C$12&lt;SUMIFS('員工更表輸入'!$F$5:$F$39,'員工更表輸入'!$A$5:$A$39,'設定 Settings'!$A$6,'員工更表輸入'!$B$5:$B$39,B$88)),"Break","Work"))</f>
        <v/>
      </c>
      <c r="C99" s="24">
        <f>IF(OR(SUMIFS('員工更表輸入'!$D$5:$D$39,'員工更表輸入'!$A$5:$A$39,'設定 Settings'!$A$6,'員工更表輸入'!$B$5:$B$39,C$88)&lt;=0,Lists!$C$12&lt;SUMIFS('員工更表輸入'!$C$5:$C$39,'員工更表輸入'!$A$5:$A$39,'設定 Settings'!$A$6,'員工更表輸入'!$B$5:$B$39,C$88),Lists!$C$12&gt;=SUMIFS('員工更表輸入'!$D$5:$D$39,'員工更表輸入'!$A$5:$A$39,'設定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Settings'!$A$6,'員工更表輸入'!$B$5:$B$39,C$88)&gt;0,Lists!$C$12&gt;=SUMIFS('員工更表輸入'!$E$5:$E$39,'員工更表輸入'!$A$5:$A$39,'設定 Settings'!$A$6,'員工更表輸入'!$B$5:$B$39,C$88),Lists!$C$12&lt;SUMIFS('員工更表輸入'!$F$5:$F$39,'員工更表輸入'!$A$5:$A$39,'設定 Settings'!$A$6,'員工更表輸入'!$B$5:$B$39,C$88)),"Break","Work"))</f>
        <v/>
      </c>
      <c r="D99" s="24">
        <f>IF(OR(SUMIFS('員工更表輸入'!$D$5:$D$39,'員工更表輸入'!$A$5:$A$39,'設定 Settings'!$A$6,'員工更表輸入'!$B$5:$B$39,D$88)&lt;=0,Lists!$C$12&lt;SUMIFS('員工更表輸入'!$C$5:$C$39,'員工更表輸入'!$A$5:$A$39,'設定 Settings'!$A$6,'員工更表輸入'!$B$5:$B$39,D$88),Lists!$C$12&gt;=SUMIFS('員工更表輸入'!$D$5:$D$39,'員工更表輸入'!$A$5:$A$39,'設定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Settings'!$A$6,'員工更表輸入'!$B$5:$B$39,D$88)&gt;0,Lists!$C$12&gt;=SUMIFS('員工更表輸入'!$E$5:$E$39,'員工更表輸入'!$A$5:$A$39,'設定 Settings'!$A$6,'員工更表輸入'!$B$5:$B$39,D$88),Lists!$C$12&lt;SUMIFS('員工更表輸入'!$F$5:$F$39,'員工更表輸入'!$A$5:$A$39,'設定 Settings'!$A$6,'員工更表輸入'!$B$5:$B$39,D$88)),"Break","Work"))</f>
        <v/>
      </c>
      <c r="E99" s="24">
        <f>IF(OR(SUMIFS('員工更表輸入'!$D$5:$D$39,'員工更表輸入'!$A$5:$A$39,'設定 Settings'!$A$6,'員工更表輸入'!$B$5:$B$39,E$88)&lt;=0,Lists!$C$12&lt;SUMIFS('員工更表輸入'!$C$5:$C$39,'員工更表輸入'!$A$5:$A$39,'設定 Settings'!$A$6,'員工更表輸入'!$B$5:$B$39,E$88),Lists!$C$12&gt;=SUMIFS('員工更表輸入'!$D$5:$D$39,'員工更表輸入'!$A$5:$A$39,'設定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Settings'!$A$6,'員工更表輸入'!$B$5:$B$39,E$88)&gt;0,Lists!$C$12&gt;=SUMIFS('員工更表輸入'!$E$5:$E$39,'員工更表輸入'!$A$5:$A$39,'設定 Settings'!$A$6,'員工更表輸入'!$B$5:$B$39,E$88),Lists!$C$12&lt;SUMIFS('員工更表輸入'!$F$5:$F$39,'員工更表輸入'!$A$5:$A$39,'設定 Settings'!$A$6,'員工更表輸入'!$B$5:$B$39,E$88)),"Break","Work"))</f>
        <v/>
      </c>
      <c r="F99" s="24">
        <f>IF(OR(SUMIFS('員工更表輸入'!$D$5:$D$39,'員工更表輸入'!$A$5:$A$39,'設定 Settings'!$A$6,'員工更表輸入'!$B$5:$B$39,F$88)&lt;=0,Lists!$C$12&lt;SUMIFS('員工更表輸入'!$C$5:$C$39,'員工更表輸入'!$A$5:$A$39,'設定 Settings'!$A$6,'員工更表輸入'!$B$5:$B$39,F$88),Lists!$C$12&gt;=SUMIFS('員工更表輸入'!$D$5:$D$39,'員工更表輸入'!$A$5:$A$39,'設定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Settings'!$A$6,'員工更表輸入'!$B$5:$B$39,F$88)&gt;0,Lists!$C$12&gt;=SUMIFS('員工更表輸入'!$E$5:$E$39,'員工更表輸入'!$A$5:$A$39,'設定 Settings'!$A$6,'員工更表輸入'!$B$5:$B$39,F$88),Lists!$C$12&lt;SUMIFS('員工更表輸入'!$F$5:$F$39,'員工更表輸入'!$A$5:$A$39,'設定 Settings'!$A$6,'員工更表輸入'!$B$5:$B$39,F$88)),"Break","Work"))</f>
        <v/>
      </c>
      <c r="G99" s="24">
        <f>IF(OR(SUMIFS('員工更表輸入'!$D$5:$D$39,'員工更表輸入'!$A$5:$A$39,'設定 Settings'!$A$6,'員工更表輸入'!$B$5:$B$39,G$88)&lt;=0,Lists!$C$12&lt;SUMIFS('員工更表輸入'!$C$5:$C$39,'員工更表輸入'!$A$5:$A$39,'設定 Settings'!$A$6,'員工更表輸入'!$B$5:$B$39,G$88),Lists!$C$12&gt;=SUMIFS('員工更表輸入'!$D$5:$D$39,'員工更表輸入'!$A$5:$A$39,'設定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Settings'!$A$6,'員工更表輸入'!$B$5:$B$39,G$88)&gt;0,Lists!$C$12&gt;=SUMIFS('員工更表輸入'!$E$5:$E$39,'員工更表輸入'!$A$5:$A$39,'設定 Settings'!$A$6,'員工更表輸入'!$B$5:$B$39,G$88),Lists!$C$12&lt;SUMIFS('員工更表輸入'!$F$5:$F$39,'員工更表輸入'!$A$5:$A$39,'設定 Settings'!$A$6,'員工更表輸入'!$B$5:$B$39,G$88)),"Break","Work"))</f>
        <v/>
      </c>
      <c r="H99" s="24">
        <f>IF(OR(SUMIFS('員工更表輸入'!$D$5:$D$39,'員工更表輸入'!$A$5:$A$39,'設定 Settings'!$A$6,'員工更表輸入'!$B$5:$B$39,H$88)&lt;=0,Lists!$C$12&lt;SUMIFS('員工更表輸入'!$C$5:$C$39,'員工更表輸入'!$A$5:$A$39,'設定 Settings'!$A$6,'員工更表輸入'!$B$5:$B$39,H$88),Lists!$C$12&gt;=SUMIFS('員工更表輸入'!$D$5:$D$39,'員工更表輸入'!$A$5:$A$39,'設定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Settings'!$A$6,'員工更表輸入'!$B$5:$B$39,H$88)&gt;0,Lists!$C$12&gt;=SUMIFS('員工更表輸入'!$E$5:$E$39,'員工更表輸入'!$A$5:$A$39,'設定 Settings'!$A$6,'員工更表輸入'!$B$5:$B$39,H$88),Lists!$C$12&lt;SUMIFS('員工更表輸入'!$F$5:$F$39,'員工更表輸入'!$A$5:$A$39,'設定 Settings'!$A$6,'員工更表輸入'!$B$5:$B$39,H$88)),"Break","Work"))</f>
        <v/>
      </c>
    </row>
    <row r="100">
      <c r="A100" s="22" t="inlineStr">
        <is>
          <t>3:15pm-3:45pm</t>
        </is>
      </c>
      <c r="B100" s="24">
        <f>IF(OR(SUMIFS('員工更表輸入'!$D$5:$D$39,'員工更表輸入'!$A$5:$A$39,'設定 Settings'!$A$6,'員工更表輸入'!$B$5:$B$39,B$88)&lt;=0,Lists!$C$13&lt;SUMIFS('員工更表輸入'!$C$5:$C$39,'員工更表輸入'!$A$5:$A$39,'設定 Settings'!$A$6,'員工更表輸入'!$B$5:$B$39,B$88),Lists!$C$13&gt;=SUMIFS('員工更表輸入'!$D$5:$D$39,'員工更表輸入'!$A$5:$A$39,'設定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Settings'!$A$6,'員工更表輸入'!$B$5:$B$39,B$88)&gt;0,Lists!$C$13&gt;=SUMIFS('員工更表輸入'!$E$5:$E$39,'員工更表輸入'!$A$5:$A$39,'設定 Settings'!$A$6,'員工更表輸入'!$B$5:$B$39,B$88),Lists!$C$13&lt;SUMIFS('員工更表輸入'!$F$5:$F$39,'員工更表輸入'!$A$5:$A$39,'設定 Settings'!$A$6,'員工更表輸入'!$B$5:$B$39,B$88)),"Break","Work"))</f>
        <v/>
      </c>
      <c r="C100" s="24">
        <f>IF(OR(SUMIFS('員工更表輸入'!$D$5:$D$39,'員工更表輸入'!$A$5:$A$39,'設定 Settings'!$A$6,'員工更表輸入'!$B$5:$B$39,C$88)&lt;=0,Lists!$C$13&lt;SUMIFS('員工更表輸入'!$C$5:$C$39,'員工更表輸入'!$A$5:$A$39,'設定 Settings'!$A$6,'員工更表輸入'!$B$5:$B$39,C$88),Lists!$C$13&gt;=SUMIFS('員工更表輸入'!$D$5:$D$39,'員工更表輸入'!$A$5:$A$39,'設定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Settings'!$A$6,'員工更表輸入'!$B$5:$B$39,C$88)&gt;0,Lists!$C$13&gt;=SUMIFS('員工更表輸入'!$E$5:$E$39,'員工更表輸入'!$A$5:$A$39,'設定 Settings'!$A$6,'員工更表輸入'!$B$5:$B$39,C$88),Lists!$C$13&lt;SUMIFS('員工更表輸入'!$F$5:$F$39,'員工更表輸入'!$A$5:$A$39,'設定 Settings'!$A$6,'員工更表輸入'!$B$5:$B$39,C$88)),"Break","Work"))</f>
        <v/>
      </c>
      <c r="D100" s="24">
        <f>IF(OR(SUMIFS('員工更表輸入'!$D$5:$D$39,'員工更表輸入'!$A$5:$A$39,'設定 Settings'!$A$6,'員工更表輸入'!$B$5:$B$39,D$88)&lt;=0,Lists!$C$13&lt;SUMIFS('員工更表輸入'!$C$5:$C$39,'員工更表輸入'!$A$5:$A$39,'設定 Settings'!$A$6,'員工更表輸入'!$B$5:$B$39,D$88),Lists!$C$13&gt;=SUMIFS('員工更表輸入'!$D$5:$D$39,'員工更表輸入'!$A$5:$A$39,'設定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Settings'!$A$6,'員工更表輸入'!$B$5:$B$39,D$88)&gt;0,Lists!$C$13&gt;=SUMIFS('員工更表輸入'!$E$5:$E$39,'員工更表輸入'!$A$5:$A$39,'設定 Settings'!$A$6,'員工更表輸入'!$B$5:$B$39,D$88),Lists!$C$13&lt;SUMIFS('員工更表輸入'!$F$5:$F$39,'員工更表輸入'!$A$5:$A$39,'設定 Settings'!$A$6,'員工更表輸入'!$B$5:$B$39,D$88)),"Break","Work"))</f>
        <v/>
      </c>
      <c r="E100" s="24">
        <f>IF(OR(SUMIFS('員工更表輸入'!$D$5:$D$39,'員工更表輸入'!$A$5:$A$39,'設定 Settings'!$A$6,'員工更表輸入'!$B$5:$B$39,E$88)&lt;=0,Lists!$C$13&lt;SUMIFS('員工更表輸入'!$C$5:$C$39,'員工更表輸入'!$A$5:$A$39,'設定 Settings'!$A$6,'員工更表輸入'!$B$5:$B$39,E$88),Lists!$C$13&gt;=SUMIFS('員工更表輸入'!$D$5:$D$39,'員工更表輸入'!$A$5:$A$39,'設定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Settings'!$A$6,'員工更表輸入'!$B$5:$B$39,E$88)&gt;0,Lists!$C$13&gt;=SUMIFS('員工更表輸入'!$E$5:$E$39,'員工更表輸入'!$A$5:$A$39,'設定 Settings'!$A$6,'員工更表輸入'!$B$5:$B$39,E$88),Lists!$C$13&lt;SUMIFS('員工更表輸入'!$F$5:$F$39,'員工更表輸入'!$A$5:$A$39,'設定 Settings'!$A$6,'員工更表輸入'!$B$5:$B$39,E$88)),"Break","Work"))</f>
        <v/>
      </c>
      <c r="F100" s="24">
        <f>IF(OR(SUMIFS('員工更表輸入'!$D$5:$D$39,'員工更表輸入'!$A$5:$A$39,'設定 Settings'!$A$6,'員工更表輸入'!$B$5:$B$39,F$88)&lt;=0,Lists!$C$13&lt;SUMIFS('員工更表輸入'!$C$5:$C$39,'員工更表輸入'!$A$5:$A$39,'設定 Settings'!$A$6,'員工更表輸入'!$B$5:$B$39,F$88),Lists!$C$13&gt;=SUMIFS('員工更表輸入'!$D$5:$D$39,'員工更表輸入'!$A$5:$A$39,'設定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Settings'!$A$6,'員工更表輸入'!$B$5:$B$39,F$88)&gt;0,Lists!$C$13&gt;=SUMIFS('員工更表輸入'!$E$5:$E$39,'員工更表輸入'!$A$5:$A$39,'設定 Settings'!$A$6,'員工更表輸入'!$B$5:$B$39,F$88),Lists!$C$13&lt;SUMIFS('員工更表輸入'!$F$5:$F$39,'員工更表輸入'!$A$5:$A$39,'設定 Settings'!$A$6,'員工更表輸入'!$B$5:$B$39,F$88)),"Break","Work"))</f>
        <v/>
      </c>
      <c r="G100" s="24">
        <f>IF(OR(SUMIFS('員工更表輸入'!$D$5:$D$39,'員工更表輸入'!$A$5:$A$39,'設定 Settings'!$A$6,'員工更表輸入'!$B$5:$B$39,G$88)&lt;=0,Lists!$C$13&lt;SUMIFS('員工更表輸入'!$C$5:$C$39,'員工更表輸入'!$A$5:$A$39,'設定 Settings'!$A$6,'員工更表輸入'!$B$5:$B$39,G$88),Lists!$C$13&gt;=SUMIFS('員工更表輸入'!$D$5:$D$39,'員工更表輸入'!$A$5:$A$39,'設定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Settings'!$A$6,'員工更表輸入'!$B$5:$B$39,G$88)&gt;0,Lists!$C$13&gt;=SUMIFS('員工更表輸入'!$E$5:$E$39,'員工更表輸入'!$A$5:$A$39,'設定 Settings'!$A$6,'員工更表輸入'!$B$5:$B$39,G$88),Lists!$C$13&lt;SUMIFS('員工更表輸入'!$F$5:$F$39,'員工更表輸入'!$A$5:$A$39,'設定 Settings'!$A$6,'員工更表輸入'!$B$5:$B$39,G$88)),"Break","Work"))</f>
        <v/>
      </c>
      <c r="H100" s="24">
        <f>IF(OR(SUMIFS('員工更表輸入'!$D$5:$D$39,'員工更表輸入'!$A$5:$A$39,'設定 Settings'!$A$6,'員工更表輸入'!$B$5:$B$39,H$88)&lt;=0,Lists!$C$13&lt;SUMIFS('員工更表輸入'!$C$5:$C$39,'員工更表輸入'!$A$5:$A$39,'設定 Settings'!$A$6,'員工更表輸入'!$B$5:$B$39,H$88),Lists!$C$13&gt;=SUMIFS('員工更表輸入'!$D$5:$D$39,'員工更表輸入'!$A$5:$A$39,'設定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Settings'!$A$6,'員工更表輸入'!$B$5:$B$39,H$88)&gt;0,Lists!$C$13&gt;=SUMIFS('員工更表輸入'!$E$5:$E$39,'員工更表輸入'!$A$5:$A$39,'設定 Settings'!$A$6,'員工更表輸入'!$B$5:$B$39,H$88),Lists!$C$13&lt;SUMIFS('員工更表輸入'!$F$5:$F$39,'員工更表輸入'!$A$5:$A$39,'設定 Settings'!$A$6,'員工更表輸入'!$B$5:$B$39,H$88)),"Break","Work"))</f>
        <v/>
      </c>
    </row>
    <row r="101">
      <c r="A101" s="22" t="inlineStr">
        <is>
          <t>3:45pm-4:15pm</t>
        </is>
      </c>
      <c r="B101" s="24">
        <f>IF(OR(SUMIFS('員工更表輸入'!$D$5:$D$39,'員工更表輸入'!$A$5:$A$39,'設定 Settings'!$A$6,'員工更表輸入'!$B$5:$B$39,B$88)&lt;=0,Lists!$C$14&lt;SUMIFS('員工更表輸入'!$C$5:$C$39,'員工更表輸入'!$A$5:$A$39,'設定 Settings'!$A$6,'員工更表輸入'!$B$5:$B$39,B$88),Lists!$C$14&gt;=SUMIFS('員工更表輸入'!$D$5:$D$39,'員工更表輸入'!$A$5:$A$39,'設定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Settings'!$A$6,'員工更表輸入'!$B$5:$B$39,B$88)&gt;0,Lists!$C$14&gt;=SUMIFS('員工更表輸入'!$E$5:$E$39,'員工更表輸入'!$A$5:$A$39,'設定 Settings'!$A$6,'員工更表輸入'!$B$5:$B$39,B$88),Lists!$C$14&lt;SUMIFS('員工更表輸入'!$F$5:$F$39,'員工更表輸入'!$A$5:$A$39,'設定 Settings'!$A$6,'員工更表輸入'!$B$5:$B$39,B$88)),"Break","Work"))</f>
        <v/>
      </c>
      <c r="C101" s="24">
        <f>IF(OR(SUMIFS('員工更表輸入'!$D$5:$D$39,'員工更表輸入'!$A$5:$A$39,'設定 Settings'!$A$6,'員工更表輸入'!$B$5:$B$39,C$88)&lt;=0,Lists!$C$14&lt;SUMIFS('員工更表輸入'!$C$5:$C$39,'員工更表輸入'!$A$5:$A$39,'設定 Settings'!$A$6,'員工更表輸入'!$B$5:$B$39,C$88),Lists!$C$14&gt;=SUMIFS('員工更表輸入'!$D$5:$D$39,'員工更表輸入'!$A$5:$A$39,'設定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Settings'!$A$6,'員工更表輸入'!$B$5:$B$39,C$88)&gt;0,Lists!$C$14&gt;=SUMIFS('員工更表輸入'!$E$5:$E$39,'員工更表輸入'!$A$5:$A$39,'設定 Settings'!$A$6,'員工更表輸入'!$B$5:$B$39,C$88),Lists!$C$14&lt;SUMIFS('員工更表輸入'!$F$5:$F$39,'員工更表輸入'!$A$5:$A$39,'設定 Settings'!$A$6,'員工更表輸入'!$B$5:$B$39,C$88)),"Break","Work"))</f>
        <v/>
      </c>
      <c r="D101" s="24">
        <f>IF(OR(SUMIFS('員工更表輸入'!$D$5:$D$39,'員工更表輸入'!$A$5:$A$39,'設定 Settings'!$A$6,'員工更表輸入'!$B$5:$B$39,D$88)&lt;=0,Lists!$C$14&lt;SUMIFS('員工更表輸入'!$C$5:$C$39,'員工更表輸入'!$A$5:$A$39,'設定 Settings'!$A$6,'員工更表輸入'!$B$5:$B$39,D$88),Lists!$C$14&gt;=SUMIFS('員工更表輸入'!$D$5:$D$39,'員工更表輸入'!$A$5:$A$39,'設定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Settings'!$A$6,'員工更表輸入'!$B$5:$B$39,D$88)&gt;0,Lists!$C$14&gt;=SUMIFS('員工更表輸入'!$E$5:$E$39,'員工更表輸入'!$A$5:$A$39,'設定 Settings'!$A$6,'員工更表輸入'!$B$5:$B$39,D$88),Lists!$C$14&lt;SUMIFS('員工更表輸入'!$F$5:$F$39,'員工更表輸入'!$A$5:$A$39,'設定 Settings'!$A$6,'員工更表輸入'!$B$5:$B$39,D$88)),"Break","Work"))</f>
        <v/>
      </c>
      <c r="E101" s="24">
        <f>IF(OR(SUMIFS('員工更表輸入'!$D$5:$D$39,'員工更表輸入'!$A$5:$A$39,'設定 Settings'!$A$6,'員工更表輸入'!$B$5:$B$39,E$88)&lt;=0,Lists!$C$14&lt;SUMIFS('員工更表輸入'!$C$5:$C$39,'員工更表輸入'!$A$5:$A$39,'設定 Settings'!$A$6,'員工更表輸入'!$B$5:$B$39,E$88),Lists!$C$14&gt;=SUMIFS('員工更表輸入'!$D$5:$D$39,'員工更表輸入'!$A$5:$A$39,'設定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Settings'!$A$6,'員工更表輸入'!$B$5:$B$39,E$88)&gt;0,Lists!$C$14&gt;=SUMIFS('員工更表輸入'!$E$5:$E$39,'員工更表輸入'!$A$5:$A$39,'設定 Settings'!$A$6,'員工更表輸入'!$B$5:$B$39,E$88),Lists!$C$14&lt;SUMIFS('員工更表輸入'!$F$5:$F$39,'員工更表輸入'!$A$5:$A$39,'設定 Settings'!$A$6,'員工更表輸入'!$B$5:$B$39,E$88)),"Break","Work"))</f>
        <v/>
      </c>
      <c r="F101" s="24">
        <f>IF(OR(SUMIFS('員工更表輸入'!$D$5:$D$39,'員工更表輸入'!$A$5:$A$39,'設定 Settings'!$A$6,'員工更表輸入'!$B$5:$B$39,F$88)&lt;=0,Lists!$C$14&lt;SUMIFS('員工更表輸入'!$C$5:$C$39,'員工更表輸入'!$A$5:$A$39,'設定 Settings'!$A$6,'員工更表輸入'!$B$5:$B$39,F$88),Lists!$C$14&gt;=SUMIFS('員工更表輸入'!$D$5:$D$39,'員工更表輸入'!$A$5:$A$39,'設定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Settings'!$A$6,'員工更表輸入'!$B$5:$B$39,F$88)&gt;0,Lists!$C$14&gt;=SUMIFS('員工更表輸入'!$E$5:$E$39,'員工更表輸入'!$A$5:$A$39,'設定 Settings'!$A$6,'員工更表輸入'!$B$5:$B$39,F$88),Lists!$C$14&lt;SUMIFS('員工更表輸入'!$F$5:$F$39,'員工更表輸入'!$A$5:$A$39,'設定 Settings'!$A$6,'員工更表輸入'!$B$5:$B$39,F$88)),"Break","Work"))</f>
        <v/>
      </c>
      <c r="G101" s="24">
        <f>IF(OR(SUMIFS('員工更表輸入'!$D$5:$D$39,'員工更表輸入'!$A$5:$A$39,'設定 Settings'!$A$6,'員工更表輸入'!$B$5:$B$39,G$88)&lt;=0,Lists!$C$14&lt;SUMIFS('員工更表輸入'!$C$5:$C$39,'員工更表輸入'!$A$5:$A$39,'設定 Settings'!$A$6,'員工更表輸入'!$B$5:$B$39,G$88),Lists!$C$14&gt;=SUMIFS('員工更表輸入'!$D$5:$D$39,'員工更表輸入'!$A$5:$A$39,'設定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Settings'!$A$6,'員工更表輸入'!$B$5:$B$39,G$88)&gt;0,Lists!$C$14&gt;=SUMIFS('員工更表輸入'!$E$5:$E$39,'員工更表輸入'!$A$5:$A$39,'設定 Settings'!$A$6,'員工更表輸入'!$B$5:$B$39,G$88),Lists!$C$14&lt;SUMIFS('員工更表輸入'!$F$5:$F$39,'員工更表輸入'!$A$5:$A$39,'設定 Settings'!$A$6,'員工更表輸入'!$B$5:$B$39,G$88)),"Break","Work"))</f>
        <v/>
      </c>
      <c r="H101" s="24">
        <f>IF(OR(SUMIFS('員工更表輸入'!$D$5:$D$39,'員工更表輸入'!$A$5:$A$39,'設定 Settings'!$A$6,'員工更表輸入'!$B$5:$B$39,H$88)&lt;=0,Lists!$C$14&lt;SUMIFS('員工更表輸入'!$C$5:$C$39,'員工更表輸入'!$A$5:$A$39,'設定 Settings'!$A$6,'員工更表輸入'!$B$5:$B$39,H$88),Lists!$C$14&gt;=SUMIFS('員工更表輸入'!$D$5:$D$39,'員工更表輸入'!$A$5:$A$39,'設定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Settings'!$A$6,'員工更表輸入'!$B$5:$B$39,H$88)&gt;0,Lists!$C$14&gt;=SUMIFS('員工更表輸入'!$E$5:$E$39,'員工更表輸入'!$A$5:$A$39,'設定 Settings'!$A$6,'員工更表輸入'!$B$5:$B$39,H$88),Lists!$C$14&lt;SUMIFS('員工更表輸入'!$F$5:$F$39,'員工更表輸入'!$A$5:$A$39,'設定 Settings'!$A$6,'員工更表輸入'!$B$5:$B$39,H$88)),"Break","Work"))</f>
        <v/>
      </c>
    </row>
    <row r="102">
      <c r="A102" s="22" t="inlineStr">
        <is>
          <t>4:15pm-4:45pm</t>
        </is>
      </c>
      <c r="B102" s="24">
        <f>IF(OR(SUMIFS('員工更表輸入'!$D$5:$D$39,'員工更表輸入'!$A$5:$A$39,'設定 Settings'!$A$6,'員工更表輸入'!$B$5:$B$39,B$88)&lt;=0,Lists!$C$15&lt;SUMIFS('員工更表輸入'!$C$5:$C$39,'員工更表輸入'!$A$5:$A$39,'設定 Settings'!$A$6,'員工更表輸入'!$B$5:$B$39,B$88),Lists!$C$15&gt;=SUMIFS('員工更表輸入'!$D$5:$D$39,'員工更表輸入'!$A$5:$A$39,'設定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Settings'!$A$6,'員工更表輸入'!$B$5:$B$39,B$88)&gt;0,Lists!$C$15&gt;=SUMIFS('員工更表輸入'!$E$5:$E$39,'員工更表輸入'!$A$5:$A$39,'設定 Settings'!$A$6,'員工更表輸入'!$B$5:$B$39,B$88),Lists!$C$15&lt;SUMIFS('員工更表輸入'!$F$5:$F$39,'員工更表輸入'!$A$5:$A$39,'設定 Settings'!$A$6,'員工更表輸入'!$B$5:$B$39,B$88)),"Break","Work"))</f>
        <v/>
      </c>
      <c r="C102" s="24">
        <f>IF(OR(SUMIFS('員工更表輸入'!$D$5:$D$39,'員工更表輸入'!$A$5:$A$39,'設定 Settings'!$A$6,'員工更表輸入'!$B$5:$B$39,C$88)&lt;=0,Lists!$C$15&lt;SUMIFS('員工更表輸入'!$C$5:$C$39,'員工更表輸入'!$A$5:$A$39,'設定 Settings'!$A$6,'員工更表輸入'!$B$5:$B$39,C$88),Lists!$C$15&gt;=SUMIFS('員工更表輸入'!$D$5:$D$39,'員工更表輸入'!$A$5:$A$39,'設定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Settings'!$A$6,'員工更表輸入'!$B$5:$B$39,C$88)&gt;0,Lists!$C$15&gt;=SUMIFS('員工更表輸入'!$E$5:$E$39,'員工更表輸入'!$A$5:$A$39,'設定 Settings'!$A$6,'員工更表輸入'!$B$5:$B$39,C$88),Lists!$C$15&lt;SUMIFS('員工更表輸入'!$F$5:$F$39,'員工更表輸入'!$A$5:$A$39,'設定 Settings'!$A$6,'員工更表輸入'!$B$5:$B$39,C$88)),"Break","Work"))</f>
        <v/>
      </c>
      <c r="D102" s="24">
        <f>IF(OR(SUMIFS('員工更表輸入'!$D$5:$D$39,'員工更表輸入'!$A$5:$A$39,'設定 Settings'!$A$6,'員工更表輸入'!$B$5:$B$39,D$88)&lt;=0,Lists!$C$15&lt;SUMIFS('員工更表輸入'!$C$5:$C$39,'員工更表輸入'!$A$5:$A$39,'設定 Settings'!$A$6,'員工更表輸入'!$B$5:$B$39,D$88),Lists!$C$15&gt;=SUMIFS('員工更表輸入'!$D$5:$D$39,'員工更表輸入'!$A$5:$A$39,'設定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Settings'!$A$6,'員工更表輸入'!$B$5:$B$39,D$88)&gt;0,Lists!$C$15&gt;=SUMIFS('員工更表輸入'!$E$5:$E$39,'員工更表輸入'!$A$5:$A$39,'設定 Settings'!$A$6,'員工更表輸入'!$B$5:$B$39,D$88),Lists!$C$15&lt;SUMIFS('員工更表輸入'!$F$5:$F$39,'員工更表輸入'!$A$5:$A$39,'設定 Settings'!$A$6,'員工更表輸入'!$B$5:$B$39,D$88)),"Break","Work"))</f>
        <v/>
      </c>
      <c r="E102" s="24">
        <f>IF(OR(SUMIFS('員工更表輸入'!$D$5:$D$39,'員工更表輸入'!$A$5:$A$39,'設定 Settings'!$A$6,'員工更表輸入'!$B$5:$B$39,E$88)&lt;=0,Lists!$C$15&lt;SUMIFS('員工更表輸入'!$C$5:$C$39,'員工更表輸入'!$A$5:$A$39,'設定 Settings'!$A$6,'員工更表輸入'!$B$5:$B$39,E$88),Lists!$C$15&gt;=SUMIFS('員工更表輸入'!$D$5:$D$39,'員工更表輸入'!$A$5:$A$39,'設定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Settings'!$A$6,'員工更表輸入'!$B$5:$B$39,E$88)&gt;0,Lists!$C$15&gt;=SUMIFS('員工更表輸入'!$E$5:$E$39,'員工更表輸入'!$A$5:$A$39,'設定 Settings'!$A$6,'員工更表輸入'!$B$5:$B$39,E$88),Lists!$C$15&lt;SUMIFS('員工更表輸入'!$F$5:$F$39,'員工更表輸入'!$A$5:$A$39,'設定 Settings'!$A$6,'員工更表輸入'!$B$5:$B$39,E$88)),"Break","Work"))</f>
        <v/>
      </c>
      <c r="F102" s="24">
        <f>IF(OR(SUMIFS('員工更表輸入'!$D$5:$D$39,'員工更表輸入'!$A$5:$A$39,'設定 Settings'!$A$6,'員工更表輸入'!$B$5:$B$39,F$88)&lt;=0,Lists!$C$15&lt;SUMIFS('員工更表輸入'!$C$5:$C$39,'員工更表輸入'!$A$5:$A$39,'設定 Settings'!$A$6,'員工更表輸入'!$B$5:$B$39,F$88),Lists!$C$15&gt;=SUMIFS('員工更表輸入'!$D$5:$D$39,'員工更表輸入'!$A$5:$A$39,'設定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Settings'!$A$6,'員工更表輸入'!$B$5:$B$39,F$88)&gt;0,Lists!$C$15&gt;=SUMIFS('員工更表輸入'!$E$5:$E$39,'員工更表輸入'!$A$5:$A$39,'設定 Settings'!$A$6,'員工更表輸入'!$B$5:$B$39,F$88),Lists!$C$15&lt;SUMIFS('員工更表輸入'!$F$5:$F$39,'員工更表輸入'!$A$5:$A$39,'設定 Settings'!$A$6,'員工更表輸入'!$B$5:$B$39,F$88)),"Break","Work"))</f>
        <v/>
      </c>
      <c r="G102" s="24">
        <f>IF(OR(SUMIFS('員工更表輸入'!$D$5:$D$39,'員工更表輸入'!$A$5:$A$39,'設定 Settings'!$A$6,'員工更表輸入'!$B$5:$B$39,G$88)&lt;=0,Lists!$C$15&lt;SUMIFS('員工更表輸入'!$C$5:$C$39,'員工更表輸入'!$A$5:$A$39,'設定 Settings'!$A$6,'員工更表輸入'!$B$5:$B$39,G$88),Lists!$C$15&gt;=SUMIFS('員工更表輸入'!$D$5:$D$39,'員工更表輸入'!$A$5:$A$39,'設定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Settings'!$A$6,'員工更表輸入'!$B$5:$B$39,G$88)&gt;0,Lists!$C$15&gt;=SUMIFS('員工更表輸入'!$E$5:$E$39,'員工更表輸入'!$A$5:$A$39,'設定 Settings'!$A$6,'員工更表輸入'!$B$5:$B$39,G$88),Lists!$C$15&lt;SUMIFS('員工更表輸入'!$F$5:$F$39,'員工更表輸入'!$A$5:$A$39,'設定 Settings'!$A$6,'員工更表輸入'!$B$5:$B$39,G$88)),"Break","Work"))</f>
        <v/>
      </c>
      <c r="H102" s="24">
        <f>IF(OR(SUMIFS('員工更表輸入'!$D$5:$D$39,'員工更表輸入'!$A$5:$A$39,'設定 Settings'!$A$6,'員工更表輸入'!$B$5:$B$39,H$88)&lt;=0,Lists!$C$15&lt;SUMIFS('員工更表輸入'!$C$5:$C$39,'員工更表輸入'!$A$5:$A$39,'設定 Settings'!$A$6,'員工更表輸入'!$B$5:$B$39,H$88),Lists!$C$15&gt;=SUMIFS('員工更表輸入'!$D$5:$D$39,'員工更表輸入'!$A$5:$A$39,'設定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Settings'!$A$6,'員工更表輸入'!$B$5:$B$39,H$88)&gt;0,Lists!$C$15&gt;=SUMIFS('員工更表輸入'!$E$5:$E$39,'員工更表輸入'!$A$5:$A$39,'設定 Settings'!$A$6,'員工更表輸入'!$B$5:$B$39,H$88),Lists!$C$15&lt;SUMIFS('員工更表輸入'!$F$5:$F$39,'員工更表輸入'!$A$5:$A$39,'設定 Settings'!$A$6,'員工更表輸入'!$B$5:$B$39,H$88)),"Break","Work"))</f>
        <v/>
      </c>
    </row>
    <row r="103">
      <c r="A103" s="22" t="inlineStr">
        <is>
          <t>4:45pm-5:15pm</t>
        </is>
      </c>
      <c r="B103" s="24">
        <f>IF(OR(SUMIFS('員工更表輸入'!$D$5:$D$39,'員工更表輸入'!$A$5:$A$39,'設定 Settings'!$A$6,'員工更表輸入'!$B$5:$B$39,B$88)&lt;=0,Lists!$C$16&lt;SUMIFS('員工更表輸入'!$C$5:$C$39,'員工更表輸入'!$A$5:$A$39,'設定 Settings'!$A$6,'員工更表輸入'!$B$5:$B$39,B$88),Lists!$C$16&gt;=SUMIFS('員工更表輸入'!$D$5:$D$39,'員工更表輸入'!$A$5:$A$39,'設定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Settings'!$A$6,'員工更表輸入'!$B$5:$B$39,B$88)&gt;0,Lists!$C$16&gt;=SUMIFS('員工更表輸入'!$E$5:$E$39,'員工更表輸入'!$A$5:$A$39,'設定 Settings'!$A$6,'員工更表輸入'!$B$5:$B$39,B$88),Lists!$C$16&lt;SUMIFS('員工更表輸入'!$F$5:$F$39,'員工更表輸入'!$A$5:$A$39,'設定 Settings'!$A$6,'員工更表輸入'!$B$5:$B$39,B$88)),"Break","Work"))</f>
        <v/>
      </c>
      <c r="C103" s="24">
        <f>IF(OR(SUMIFS('員工更表輸入'!$D$5:$D$39,'員工更表輸入'!$A$5:$A$39,'設定 Settings'!$A$6,'員工更表輸入'!$B$5:$B$39,C$88)&lt;=0,Lists!$C$16&lt;SUMIFS('員工更表輸入'!$C$5:$C$39,'員工更表輸入'!$A$5:$A$39,'設定 Settings'!$A$6,'員工更表輸入'!$B$5:$B$39,C$88),Lists!$C$16&gt;=SUMIFS('員工更表輸入'!$D$5:$D$39,'員工更表輸入'!$A$5:$A$39,'設定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Settings'!$A$6,'員工更表輸入'!$B$5:$B$39,C$88)&gt;0,Lists!$C$16&gt;=SUMIFS('員工更表輸入'!$E$5:$E$39,'員工更表輸入'!$A$5:$A$39,'設定 Settings'!$A$6,'員工更表輸入'!$B$5:$B$39,C$88),Lists!$C$16&lt;SUMIFS('員工更表輸入'!$F$5:$F$39,'員工更表輸入'!$A$5:$A$39,'設定 Settings'!$A$6,'員工更表輸入'!$B$5:$B$39,C$88)),"Break","Work"))</f>
        <v/>
      </c>
      <c r="D103" s="24">
        <f>IF(OR(SUMIFS('員工更表輸入'!$D$5:$D$39,'員工更表輸入'!$A$5:$A$39,'設定 Settings'!$A$6,'員工更表輸入'!$B$5:$B$39,D$88)&lt;=0,Lists!$C$16&lt;SUMIFS('員工更表輸入'!$C$5:$C$39,'員工更表輸入'!$A$5:$A$39,'設定 Settings'!$A$6,'員工更表輸入'!$B$5:$B$39,D$88),Lists!$C$16&gt;=SUMIFS('員工更表輸入'!$D$5:$D$39,'員工更表輸入'!$A$5:$A$39,'設定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Settings'!$A$6,'員工更表輸入'!$B$5:$B$39,D$88)&gt;0,Lists!$C$16&gt;=SUMIFS('員工更表輸入'!$E$5:$E$39,'員工更表輸入'!$A$5:$A$39,'設定 Settings'!$A$6,'員工更表輸入'!$B$5:$B$39,D$88),Lists!$C$16&lt;SUMIFS('員工更表輸入'!$F$5:$F$39,'員工更表輸入'!$A$5:$A$39,'設定 Settings'!$A$6,'員工更表輸入'!$B$5:$B$39,D$88)),"Break","Work"))</f>
        <v/>
      </c>
      <c r="E103" s="24">
        <f>IF(OR(SUMIFS('員工更表輸入'!$D$5:$D$39,'員工更表輸入'!$A$5:$A$39,'設定 Settings'!$A$6,'員工更表輸入'!$B$5:$B$39,E$88)&lt;=0,Lists!$C$16&lt;SUMIFS('員工更表輸入'!$C$5:$C$39,'員工更表輸入'!$A$5:$A$39,'設定 Settings'!$A$6,'員工更表輸入'!$B$5:$B$39,E$88),Lists!$C$16&gt;=SUMIFS('員工更表輸入'!$D$5:$D$39,'員工更表輸入'!$A$5:$A$39,'設定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Settings'!$A$6,'員工更表輸入'!$B$5:$B$39,E$88)&gt;0,Lists!$C$16&gt;=SUMIFS('員工更表輸入'!$E$5:$E$39,'員工更表輸入'!$A$5:$A$39,'設定 Settings'!$A$6,'員工更表輸入'!$B$5:$B$39,E$88),Lists!$C$16&lt;SUMIFS('員工更表輸入'!$F$5:$F$39,'員工更表輸入'!$A$5:$A$39,'設定 Settings'!$A$6,'員工更表輸入'!$B$5:$B$39,E$88)),"Break","Work"))</f>
        <v/>
      </c>
      <c r="F103" s="24">
        <f>IF(OR(SUMIFS('員工更表輸入'!$D$5:$D$39,'員工更表輸入'!$A$5:$A$39,'設定 Settings'!$A$6,'員工更表輸入'!$B$5:$B$39,F$88)&lt;=0,Lists!$C$16&lt;SUMIFS('員工更表輸入'!$C$5:$C$39,'員工更表輸入'!$A$5:$A$39,'設定 Settings'!$A$6,'員工更表輸入'!$B$5:$B$39,F$88),Lists!$C$16&gt;=SUMIFS('員工更表輸入'!$D$5:$D$39,'員工更表輸入'!$A$5:$A$39,'設定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Settings'!$A$6,'員工更表輸入'!$B$5:$B$39,F$88)&gt;0,Lists!$C$16&gt;=SUMIFS('員工更表輸入'!$E$5:$E$39,'員工更表輸入'!$A$5:$A$39,'設定 Settings'!$A$6,'員工更表輸入'!$B$5:$B$39,F$88),Lists!$C$16&lt;SUMIFS('員工更表輸入'!$F$5:$F$39,'員工更表輸入'!$A$5:$A$39,'設定 Settings'!$A$6,'員工更表輸入'!$B$5:$B$39,F$88)),"Break","Work"))</f>
        <v/>
      </c>
      <c r="G103" s="24">
        <f>IF(OR(SUMIFS('員工更表輸入'!$D$5:$D$39,'員工更表輸入'!$A$5:$A$39,'設定 Settings'!$A$6,'員工更表輸入'!$B$5:$B$39,G$88)&lt;=0,Lists!$C$16&lt;SUMIFS('員工更表輸入'!$C$5:$C$39,'員工更表輸入'!$A$5:$A$39,'設定 Settings'!$A$6,'員工更表輸入'!$B$5:$B$39,G$88),Lists!$C$16&gt;=SUMIFS('員工更表輸入'!$D$5:$D$39,'員工更表輸入'!$A$5:$A$39,'設定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Settings'!$A$6,'員工更表輸入'!$B$5:$B$39,G$88)&gt;0,Lists!$C$16&gt;=SUMIFS('員工更表輸入'!$E$5:$E$39,'員工更表輸入'!$A$5:$A$39,'設定 Settings'!$A$6,'員工更表輸入'!$B$5:$B$39,G$88),Lists!$C$16&lt;SUMIFS('員工更表輸入'!$F$5:$F$39,'員工更表輸入'!$A$5:$A$39,'設定 Settings'!$A$6,'員工更表輸入'!$B$5:$B$39,G$88)),"Break","Work"))</f>
        <v/>
      </c>
      <c r="H103" s="24">
        <f>IF(OR(SUMIFS('員工更表輸入'!$D$5:$D$39,'員工更表輸入'!$A$5:$A$39,'設定 Settings'!$A$6,'員工更表輸入'!$B$5:$B$39,H$88)&lt;=0,Lists!$C$16&lt;SUMIFS('員工更表輸入'!$C$5:$C$39,'員工更表輸入'!$A$5:$A$39,'設定 Settings'!$A$6,'員工更表輸入'!$B$5:$B$39,H$88),Lists!$C$16&gt;=SUMIFS('員工更表輸入'!$D$5:$D$39,'員工更表輸入'!$A$5:$A$39,'設定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Settings'!$A$6,'員工更表輸入'!$B$5:$B$39,H$88)&gt;0,Lists!$C$16&gt;=SUMIFS('員工更表輸入'!$E$5:$E$39,'員工更表輸入'!$A$5:$A$39,'設定 Settings'!$A$6,'員工更表輸入'!$B$5:$B$39,H$88),Lists!$C$16&lt;SUMIFS('員工更表輸入'!$F$5:$F$39,'員工更表輸入'!$A$5:$A$39,'設定 Settings'!$A$6,'員工更表輸入'!$B$5:$B$39,H$88)),"Break","Work"))</f>
        <v/>
      </c>
    </row>
    <row r="104">
      <c r="A104" s="22" t="inlineStr">
        <is>
          <t>5:15pm-5:45pm</t>
        </is>
      </c>
      <c r="B104" s="24">
        <f>IF(OR(SUMIFS('員工更表輸入'!$D$5:$D$39,'員工更表輸入'!$A$5:$A$39,'設定 Settings'!$A$6,'員工更表輸入'!$B$5:$B$39,B$88)&lt;=0,Lists!$C$17&lt;SUMIFS('員工更表輸入'!$C$5:$C$39,'員工更表輸入'!$A$5:$A$39,'設定 Settings'!$A$6,'員工更表輸入'!$B$5:$B$39,B$88),Lists!$C$17&gt;=SUMIFS('員工更表輸入'!$D$5:$D$39,'員工更表輸入'!$A$5:$A$39,'設定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Settings'!$A$6,'員工更表輸入'!$B$5:$B$39,B$88)&gt;0,Lists!$C$17&gt;=SUMIFS('員工更表輸入'!$E$5:$E$39,'員工更表輸入'!$A$5:$A$39,'設定 Settings'!$A$6,'員工更表輸入'!$B$5:$B$39,B$88),Lists!$C$17&lt;SUMIFS('員工更表輸入'!$F$5:$F$39,'員工更表輸入'!$A$5:$A$39,'設定 Settings'!$A$6,'員工更表輸入'!$B$5:$B$39,B$88)),"Break","Work"))</f>
        <v/>
      </c>
      <c r="C104" s="24">
        <f>IF(OR(SUMIFS('員工更表輸入'!$D$5:$D$39,'員工更表輸入'!$A$5:$A$39,'設定 Settings'!$A$6,'員工更表輸入'!$B$5:$B$39,C$88)&lt;=0,Lists!$C$17&lt;SUMIFS('員工更表輸入'!$C$5:$C$39,'員工更表輸入'!$A$5:$A$39,'設定 Settings'!$A$6,'員工更表輸入'!$B$5:$B$39,C$88),Lists!$C$17&gt;=SUMIFS('員工更表輸入'!$D$5:$D$39,'員工更表輸入'!$A$5:$A$39,'設定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Settings'!$A$6,'員工更表輸入'!$B$5:$B$39,C$88)&gt;0,Lists!$C$17&gt;=SUMIFS('員工更表輸入'!$E$5:$E$39,'員工更表輸入'!$A$5:$A$39,'設定 Settings'!$A$6,'員工更表輸入'!$B$5:$B$39,C$88),Lists!$C$17&lt;SUMIFS('員工更表輸入'!$F$5:$F$39,'員工更表輸入'!$A$5:$A$39,'設定 Settings'!$A$6,'員工更表輸入'!$B$5:$B$39,C$88)),"Break","Work"))</f>
        <v/>
      </c>
      <c r="D104" s="24">
        <f>IF(OR(SUMIFS('員工更表輸入'!$D$5:$D$39,'員工更表輸入'!$A$5:$A$39,'設定 Settings'!$A$6,'員工更表輸入'!$B$5:$B$39,D$88)&lt;=0,Lists!$C$17&lt;SUMIFS('員工更表輸入'!$C$5:$C$39,'員工更表輸入'!$A$5:$A$39,'設定 Settings'!$A$6,'員工更表輸入'!$B$5:$B$39,D$88),Lists!$C$17&gt;=SUMIFS('員工更表輸入'!$D$5:$D$39,'員工更表輸入'!$A$5:$A$39,'設定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Settings'!$A$6,'員工更表輸入'!$B$5:$B$39,D$88)&gt;0,Lists!$C$17&gt;=SUMIFS('員工更表輸入'!$E$5:$E$39,'員工更表輸入'!$A$5:$A$39,'設定 Settings'!$A$6,'員工更表輸入'!$B$5:$B$39,D$88),Lists!$C$17&lt;SUMIFS('員工更表輸入'!$F$5:$F$39,'員工更表輸入'!$A$5:$A$39,'設定 Settings'!$A$6,'員工更表輸入'!$B$5:$B$39,D$88)),"Break","Work"))</f>
        <v/>
      </c>
      <c r="E104" s="24">
        <f>IF(OR(SUMIFS('員工更表輸入'!$D$5:$D$39,'員工更表輸入'!$A$5:$A$39,'設定 Settings'!$A$6,'員工更表輸入'!$B$5:$B$39,E$88)&lt;=0,Lists!$C$17&lt;SUMIFS('員工更表輸入'!$C$5:$C$39,'員工更表輸入'!$A$5:$A$39,'設定 Settings'!$A$6,'員工更表輸入'!$B$5:$B$39,E$88),Lists!$C$17&gt;=SUMIFS('員工更表輸入'!$D$5:$D$39,'員工更表輸入'!$A$5:$A$39,'設定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Settings'!$A$6,'員工更表輸入'!$B$5:$B$39,E$88)&gt;0,Lists!$C$17&gt;=SUMIFS('員工更表輸入'!$E$5:$E$39,'員工更表輸入'!$A$5:$A$39,'設定 Settings'!$A$6,'員工更表輸入'!$B$5:$B$39,E$88),Lists!$C$17&lt;SUMIFS('員工更表輸入'!$F$5:$F$39,'員工更表輸入'!$A$5:$A$39,'設定 Settings'!$A$6,'員工更表輸入'!$B$5:$B$39,E$88)),"Break","Work"))</f>
        <v/>
      </c>
      <c r="F104" s="24">
        <f>IF(OR(SUMIFS('員工更表輸入'!$D$5:$D$39,'員工更表輸入'!$A$5:$A$39,'設定 Settings'!$A$6,'員工更表輸入'!$B$5:$B$39,F$88)&lt;=0,Lists!$C$17&lt;SUMIFS('員工更表輸入'!$C$5:$C$39,'員工更表輸入'!$A$5:$A$39,'設定 Settings'!$A$6,'員工更表輸入'!$B$5:$B$39,F$88),Lists!$C$17&gt;=SUMIFS('員工更表輸入'!$D$5:$D$39,'員工更表輸入'!$A$5:$A$39,'設定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Settings'!$A$6,'員工更表輸入'!$B$5:$B$39,F$88)&gt;0,Lists!$C$17&gt;=SUMIFS('員工更表輸入'!$E$5:$E$39,'員工更表輸入'!$A$5:$A$39,'設定 Settings'!$A$6,'員工更表輸入'!$B$5:$B$39,F$88),Lists!$C$17&lt;SUMIFS('員工更表輸入'!$F$5:$F$39,'員工更表輸入'!$A$5:$A$39,'設定 Settings'!$A$6,'員工更表輸入'!$B$5:$B$39,F$88)),"Break","Work"))</f>
        <v/>
      </c>
      <c r="G104" s="24">
        <f>IF(OR(SUMIFS('員工更表輸入'!$D$5:$D$39,'員工更表輸入'!$A$5:$A$39,'設定 Settings'!$A$6,'員工更表輸入'!$B$5:$B$39,G$88)&lt;=0,Lists!$C$17&lt;SUMIFS('員工更表輸入'!$C$5:$C$39,'員工更表輸入'!$A$5:$A$39,'設定 Settings'!$A$6,'員工更表輸入'!$B$5:$B$39,G$88),Lists!$C$17&gt;=SUMIFS('員工更表輸入'!$D$5:$D$39,'員工更表輸入'!$A$5:$A$39,'設定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Settings'!$A$6,'員工更表輸入'!$B$5:$B$39,G$88)&gt;0,Lists!$C$17&gt;=SUMIFS('員工更表輸入'!$E$5:$E$39,'員工更表輸入'!$A$5:$A$39,'設定 Settings'!$A$6,'員工更表輸入'!$B$5:$B$39,G$88),Lists!$C$17&lt;SUMIFS('員工更表輸入'!$F$5:$F$39,'員工更表輸入'!$A$5:$A$39,'設定 Settings'!$A$6,'員工更表輸入'!$B$5:$B$39,G$88)),"Break","Work"))</f>
        <v/>
      </c>
      <c r="H104" s="24">
        <f>IF(OR(SUMIFS('員工更表輸入'!$D$5:$D$39,'員工更表輸入'!$A$5:$A$39,'設定 Settings'!$A$6,'員工更表輸入'!$B$5:$B$39,H$88)&lt;=0,Lists!$C$17&lt;SUMIFS('員工更表輸入'!$C$5:$C$39,'員工更表輸入'!$A$5:$A$39,'設定 Settings'!$A$6,'員工更表輸入'!$B$5:$B$39,H$88),Lists!$C$17&gt;=SUMIFS('員工更表輸入'!$D$5:$D$39,'員工更表輸入'!$A$5:$A$39,'設定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Settings'!$A$6,'員工更表輸入'!$B$5:$B$39,H$88)&gt;0,Lists!$C$17&gt;=SUMIFS('員工更表輸入'!$E$5:$E$39,'員工更表輸入'!$A$5:$A$39,'設定 Settings'!$A$6,'員工更表輸入'!$B$5:$B$39,H$88),Lists!$C$17&lt;SUMIFS('員工更表輸入'!$F$5:$F$39,'員工更表輸入'!$A$5:$A$39,'設定 Settings'!$A$6,'員工更表輸入'!$B$5:$B$39,H$88)),"Break","Work"))</f>
        <v/>
      </c>
    </row>
    <row r="105">
      <c r="A105" s="22" t="inlineStr">
        <is>
          <t>5:45pm-6:15pm</t>
        </is>
      </c>
      <c r="B105" s="24">
        <f>IF(OR(SUMIFS('員工更表輸入'!$D$5:$D$39,'員工更表輸入'!$A$5:$A$39,'設定 Settings'!$A$6,'員工更表輸入'!$B$5:$B$39,B$88)&lt;=0,Lists!$C$18&lt;SUMIFS('員工更表輸入'!$C$5:$C$39,'員工更表輸入'!$A$5:$A$39,'設定 Settings'!$A$6,'員工更表輸入'!$B$5:$B$39,B$88),Lists!$C$18&gt;=SUMIFS('員工更表輸入'!$D$5:$D$39,'員工更表輸入'!$A$5:$A$39,'設定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Settings'!$A$6,'員工更表輸入'!$B$5:$B$39,B$88)&gt;0,Lists!$C$18&gt;=SUMIFS('員工更表輸入'!$E$5:$E$39,'員工更表輸入'!$A$5:$A$39,'設定 Settings'!$A$6,'員工更表輸入'!$B$5:$B$39,B$88),Lists!$C$18&lt;SUMIFS('員工更表輸入'!$F$5:$F$39,'員工更表輸入'!$A$5:$A$39,'設定 Settings'!$A$6,'員工更表輸入'!$B$5:$B$39,B$88)),"Break","Work"))</f>
        <v/>
      </c>
      <c r="C105" s="24">
        <f>IF(OR(SUMIFS('員工更表輸入'!$D$5:$D$39,'員工更表輸入'!$A$5:$A$39,'設定 Settings'!$A$6,'員工更表輸入'!$B$5:$B$39,C$88)&lt;=0,Lists!$C$18&lt;SUMIFS('員工更表輸入'!$C$5:$C$39,'員工更表輸入'!$A$5:$A$39,'設定 Settings'!$A$6,'員工更表輸入'!$B$5:$B$39,C$88),Lists!$C$18&gt;=SUMIFS('員工更表輸入'!$D$5:$D$39,'員工更表輸入'!$A$5:$A$39,'設定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Settings'!$A$6,'員工更表輸入'!$B$5:$B$39,C$88)&gt;0,Lists!$C$18&gt;=SUMIFS('員工更表輸入'!$E$5:$E$39,'員工更表輸入'!$A$5:$A$39,'設定 Settings'!$A$6,'員工更表輸入'!$B$5:$B$39,C$88),Lists!$C$18&lt;SUMIFS('員工更表輸入'!$F$5:$F$39,'員工更表輸入'!$A$5:$A$39,'設定 Settings'!$A$6,'員工更表輸入'!$B$5:$B$39,C$88)),"Break","Work"))</f>
        <v/>
      </c>
      <c r="D105" s="24">
        <f>IF(OR(SUMIFS('員工更表輸入'!$D$5:$D$39,'員工更表輸入'!$A$5:$A$39,'設定 Settings'!$A$6,'員工更表輸入'!$B$5:$B$39,D$88)&lt;=0,Lists!$C$18&lt;SUMIFS('員工更表輸入'!$C$5:$C$39,'員工更表輸入'!$A$5:$A$39,'設定 Settings'!$A$6,'員工更表輸入'!$B$5:$B$39,D$88),Lists!$C$18&gt;=SUMIFS('員工更表輸入'!$D$5:$D$39,'員工更表輸入'!$A$5:$A$39,'設定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Settings'!$A$6,'員工更表輸入'!$B$5:$B$39,D$88)&gt;0,Lists!$C$18&gt;=SUMIFS('員工更表輸入'!$E$5:$E$39,'員工更表輸入'!$A$5:$A$39,'設定 Settings'!$A$6,'員工更表輸入'!$B$5:$B$39,D$88),Lists!$C$18&lt;SUMIFS('員工更表輸入'!$F$5:$F$39,'員工更表輸入'!$A$5:$A$39,'設定 Settings'!$A$6,'員工更表輸入'!$B$5:$B$39,D$88)),"Break","Work"))</f>
        <v/>
      </c>
      <c r="E105" s="24">
        <f>IF(OR(SUMIFS('員工更表輸入'!$D$5:$D$39,'員工更表輸入'!$A$5:$A$39,'設定 Settings'!$A$6,'員工更表輸入'!$B$5:$B$39,E$88)&lt;=0,Lists!$C$18&lt;SUMIFS('員工更表輸入'!$C$5:$C$39,'員工更表輸入'!$A$5:$A$39,'設定 Settings'!$A$6,'員工更表輸入'!$B$5:$B$39,E$88),Lists!$C$18&gt;=SUMIFS('員工更表輸入'!$D$5:$D$39,'員工更表輸入'!$A$5:$A$39,'設定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Settings'!$A$6,'員工更表輸入'!$B$5:$B$39,E$88)&gt;0,Lists!$C$18&gt;=SUMIFS('員工更表輸入'!$E$5:$E$39,'員工更表輸入'!$A$5:$A$39,'設定 Settings'!$A$6,'員工更表輸入'!$B$5:$B$39,E$88),Lists!$C$18&lt;SUMIFS('員工更表輸入'!$F$5:$F$39,'員工更表輸入'!$A$5:$A$39,'設定 Settings'!$A$6,'員工更表輸入'!$B$5:$B$39,E$88)),"Break","Work"))</f>
        <v/>
      </c>
      <c r="F105" s="24">
        <f>IF(OR(SUMIFS('員工更表輸入'!$D$5:$D$39,'員工更表輸入'!$A$5:$A$39,'設定 Settings'!$A$6,'員工更表輸入'!$B$5:$B$39,F$88)&lt;=0,Lists!$C$18&lt;SUMIFS('員工更表輸入'!$C$5:$C$39,'員工更表輸入'!$A$5:$A$39,'設定 Settings'!$A$6,'員工更表輸入'!$B$5:$B$39,F$88),Lists!$C$18&gt;=SUMIFS('員工更表輸入'!$D$5:$D$39,'員工更表輸入'!$A$5:$A$39,'設定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Settings'!$A$6,'員工更表輸入'!$B$5:$B$39,F$88)&gt;0,Lists!$C$18&gt;=SUMIFS('員工更表輸入'!$E$5:$E$39,'員工更表輸入'!$A$5:$A$39,'設定 Settings'!$A$6,'員工更表輸入'!$B$5:$B$39,F$88),Lists!$C$18&lt;SUMIFS('員工更表輸入'!$F$5:$F$39,'員工更表輸入'!$A$5:$A$39,'設定 Settings'!$A$6,'員工更表輸入'!$B$5:$B$39,F$88)),"Break","Work"))</f>
        <v/>
      </c>
      <c r="G105" s="24">
        <f>IF(OR(SUMIFS('員工更表輸入'!$D$5:$D$39,'員工更表輸入'!$A$5:$A$39,'設定 Settings'!$A$6,'員工更表輸入'!$B$5:$B$39,G$88)&lt;=0,Lists!$C$18&lt;SUMIFS('員工更表輸入'!$C$5:$C$39,'員工更表輸入'!$A$5:$A$39,'設定 Settings'!$A$6,'員工更表輸入'!$B$5:$B$39,G$88),Lists!$C$18&gt;=SUMIFS('員工更表輸入'!$D$5:$D$39,'員工更表輸入'!$A$5:$A$39,'設定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Settings'!$A$6,'員工更表輸入'!$B$5:$B$39,G$88)&gt;0,Lists!$C$18&gt;=SUMIFS('員工更表輸入'!$E$5:$E$39,'員工更表輸入'!$A$5:$A$39,'設定 Settings'!$A$6,'員工更表輸入'!$B$5:$B$39,G$88),Lists!$C$18&lt;SUMIFS('員工更表輸入'!$F$5:$F$39,'員工更表輸入'!$A$5:$A$39,'設定 Settings'!$A$6,'員工更表輸入'!$B$5:$B$39,G$88)),"Break","Work"))</f>
        <v/>
      </c>
      <c r="H105" s="24">
        <f>IF(OR(SUMIFS('員工更表輸入'!$D$5:$D$39,'員工更表輸入'!$A$5:$A$39,'設定 Settings'!$A$6,'員工更表輸入'!$B$5:$B$39,H$88)&lt;=0,Lists!$C$18&lt;SUMIFS('員工更表輸入'!$C$5:$C$39,'員工更表輸入'!$A$5:$A$39,'設定 Settings'!$A$6,'員工更表輸入'!$B$5:$B$39,H$88),Lists!$C$18&gt;=SUMIFS('員工更表輸入'!$D$5:$D$39,'員工更表輸入'!$A$5:$A$39,'設定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Settings'!$A$6,'員工更表輸入'!$B$5:$B$39,H$88)&gt;0,Lists!$C$18&gt;=SUMIFS('員工更表輸入'!$E$5:$E$39,'員工更表輸入'!$A$5:$A$39,'設定 Settings'!$A$6,'員工更表輸入'!$B$5:$B$39,H$88),Lists!$C$18&lt;SUMIFS('員工更表輸入'!$F$5:$F$39,'員工更表輸入'!$A$5:$A$39,'設定 Settings'!$A$6,'員工更表輸入'!$B$5:$B$39,H$88)),"Break","Work"))</f>
        <v/>
      </c>
    </row>
    <row r="106">
      <c r="A106" s="22" t="inlineStr">
        <is>
          <t>6:15pm-6:45pm</t>
        </is>
      </c>
      <c r="B106" s="24">
        <f>IF(OR(SUMIFS('員工更表輸入'!$D$5:$D$39,'員工更表輸入'!$A$5:$A$39,'設定 Settings'!$A$6,'員工更表輸入'!$B$5:$B$39,B$88)&lt;=0,Lists!$C$19&lt;SUMIFS('員工更表輸入'!$C$5:$C$39,'員工更表輸入'!$A$5:$A$39,'設定 Settings'!$A$6,'員工更表輸入'!$B$5:$B$39,B$88),Lists!$C$19&gt;=SUMIFS('員工更表輸入'!$D$5:$D$39,'員工更表輸入'!$A$5:$A$39,'設定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Settings'!$A$6,'員工更表輸入'!$B$5:$B$39,B$88)&gt;0,Lists!$C$19&gt;=SUMIFS('員工更表輸入'!$E$5:$E$39,'員工更表輸入'!$A$5:$A$39,'設定 Settings'!$A$6,'員工更表輸入'!$B$5:$B$39,B$88),Lists!$C$19&lt;SUMIFS('員工更表輸入'!$F$5:$F$39,'員工更表輸入'!$A$5:$A$39,'設定 Settings'!$A$6,'員工更表輸入'!$B$5:$B$39,B$88)),"Break","Work"))</f>
        <v/>
      </c>
      <c r="C106" s="24">
        <f>IF(OR(SUMIFS('員工更表輸入'!$D$5:$D$39,'員工更表輸入'!$A$5:$A$39,'設定 Settings'!$A$6,'員工更表輸入'!$B$5:$B$39,C$88)&lt;=0,Lists!$C$19&lt;SUMIFS('員工更表輸入'!$C$5:$C$39,'員工更表輸入'!$A$5:$A$39,'設定 Settings'!$A$6,'員工更表輸入'!$B$5:$B$39,C$88),Lists!$C$19&gt;=SUMIFS('員工更表輸入'!$D$5:$D$39,'員工更表輸入'!$A$5:$A$39,'設定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Settings'!$A$6,'員工更表輸入'!$B$5:$B$39,C$88)&gt;0,Lists!$C$19&gt;=SUMIFS('員工更表輸入'!$E$5:$E$39,'員工更表輸入'!$A$5:$A$39,'設定 Settings'!$A$6,'員工更表輸入'!$B$5:$B$39,C$88),Lists!$C$19&lt;SUMIFS('員工更表輸入'!$F$5:$F$39,'員工更表輸入'!$A$5:$A$39,'設定 Settings'!$A$6,'員工更表輸入'!$B$5:$B$39,C$88)),"Break","Work"))</f>
        <v/>
      </c>
      <c r="D106" s="24">
        <f>IF(OR(SUMIFS('員工更表輸入'!$D$5:$D$39,'員工更表輸入'!$A$5:$A$39,'設定 Settings'!$A$6,'員工更表輸入'!$B$5:$B$39,D$88)&lt;=0,Lists!$C$19&lt;SUMIFS('員工更表輸入'!$C$5:$C$39,'員工更表輸入'!$A$5:$A$39,'設定 Settings'!$A$6,'員工更表輸入'!$B$5:$B$39,D$88),Lists!$C$19&gt;=SUMIFS('員工更表輸入'!$D$5:$D$39,'員工更表輸入'!$A$5:$A$39,'設定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Settings'!$A$6,'員工更表輸入'!$B$5:$B$39,D$88)&gt;0,Lists!$C$19&gt;=SUMIFS('員工更表輸入'!$E$5:$E$39,'員工更表輸入'!$A$5:$A$39,'設定 Settings'!$A$6,'員工更表輸入'!$B$5:$B$39,D$88),Lists!$C$19&lt;SUMIFS('員工更表輸入'!$F$5:$F$39,'員工更表輸入'!$A$5:$A$39,'設定 Settings'!$A$6,'員工更表輸入'!$B$5:$B$39,D$88)),"Break","Work"))</f>
        <v/>
      </c>
      <c r="E106" s="24">
        <f>IF(OR(SUMIFS('員工更表輸入'!$D$5:$D$39,'員工更表輸入'!$A$5:$A$39,'設定 Settings'!$A$6,'員工更表輸入'!$B$5:$B$39,E$88)&lt;=0,Lists!$C$19&lt;SUMIFS('員工更表輸入'!$C$5:$C$39,'員工更表輸入'!$A$5:$A$39,'設定 Settings'!$A$6,'員工更表輸入'!$B$5:$B$39,E$88),Lists!$C$19&gt;=SUMIFS('員工更表輸入'!$D$5:$D$39,'員工更表輸入'!$A$5:$A$39,'設定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Settings'!$A$6,'員工更表輸入'!$B$5:$B$39,E$88)&gt;0,Lists!$C$19&gt;=SUMIFS('員工更表輸入'!$E$5:$E$39,'員工更表輸入'!$A$5:$A$39,'設定 Settings'!$A$6,'員工更表輸入'!$B$5:$B$39,E$88),Lists!$C$19&lt;SUMIFS('員工更表輸入'!$F$5:$F$39,'員工更表輸入'!$A$5:$A$39,'設定 Settings'!$A$6,'員工更表輸入'!$B$5:$B$39,E$88)),"Break","Work"))</f>
        <v/>
      </c>
      <c r="F106" s="24">
        <f>IF(OR(SUMIFS('員工更表輸入'!$D$5:$D$39,'員工更表輸入'!$A$5:$A$39,'設定 Settings'!$A$6,'員工更表輸入'!$B$5:$B$39,F$88)&lt;=0,Lists!$C$19&lt;SUMIFS('員工更表輸入'!$C$5:$C$39,'員工更表輸入'!$A$5:$A$39,'設定 Settings'!$A$6,'員工更表輸入'!$B$5:$B$39,F$88),Lists!$C$19&gt;=SUMIFS('員工更表輸入'!$D$5:$D$39,'員工更表輸入'!$A$5:$A$39,'設定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Settings'!$A$6,'員工更表輸入'!$B$5:$B$39,F$88)&gt;0,Lists!$C$19&gt;=SUMIFS('員工更表輸入'!$E$5:$E$39,'員工更表輸入'!$A$5:$A$39,'設定 Settings'!$A$6,'員工更表輸入'!$B$5:$B$39,F$88),Lists!$C$19&lt;SUMIFS('員工更表輸入'!$F$5:$F$39,'員工更表輸入'!$A$5:$A$39,'設定 Settings'!$A$6,'員工更表輸入'!$B$5:$B$39,F$88)),"Break","Work"))</f>
        <v/>
      </c>
      <c r="G106" s="24">
        <f>IF(OR(SUMIFS('員工更表輸入'!$D$5:$D$39,'員工更表輸入'!$A$5:$A$39,'設定 Settings'!$A$6,'員工更表輸入'!$B$5:$B$39,G$88)&lt;=0,Lists!$C$19&lt;SUMIFS('員工更表輸入'!$C$5:$C$39,'員工更表輸入'!$A$5:$A$39,'設定 Settings'!$A$6,'員工更表輸入'!$B$5:$B$39,G$88),Lists!$C$19&gt;=SUMIFS('員工更表輸入'!$D$5:$D$39,'員工更表輸入'!$A$5:$A$39,'設定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Settings'!$A$6,'員工更表輸入'!$B$5:$B$39,G$88)&gt;0,Lists!$C$19&gt;=SUMIFS('員工更表輸入'!$E$5:$E$39,'員工更表輸入'!$A$5:$A$39,'設定 Settings'!$A$6,'員工更表輸入'!$B$5:$B$39,G$88),Lists!$C$19&lt;SUMIFS('員工更表輸入'!$F$5:$F$39,'員工更表輸入'!$A$5:$A$39,'設定 Settings'!$A$6,'員工更表輸入'!$B$5:$B$39,G$88)),"Break","Work"))</f>
        <v/>
      </c>
      <c r="H106" s="24">
        <f>IF(OR(SUMIFS('員工更表輸入'!$D$5:$D$39,'員工更表輸入'!$A$5:$A$39,'設定 Settings'!$A$6,'員工更表輸入'!$B$5:$B$39,H$88)&lt;=0,Lists!$C$19&lt;SUMIFS('員工更表輸入'!$C$5:$C$39,'員工更表輸入'!$A$5:$A$39,'設定 Settings'!$A$6,'員工更表輸入'!$B$5:$B$39,H$88),Lists!$C$19&gt;=SUMIFS('員工更表輸入'!$D$5:$D$39,'員工更表輸入'!$A$5:$A$39,'設定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Settings'!$A$6,'員工更表輸入'!$B$5:$B$39,H$88)&gt;0,Lists!$C$19&gt;=SUMIFS('員工更表輸入'!$E$5:$E$39,'員工更表輸入'!$A$5:$A$39,'設定 Settings'!$A$6,'員工更表輸入'!$B$5:$B$39,H$88),Lists!$C$19&lt;SUMIFS('員工更表輸入'!$F$5:$F$39,'員工更表輸入'!$A$5:$A$39,'設定 Settings'!$A$6,'員工更表輸入'!$B$5:$B$39,H$88)),"Break","Work"))</f>
        <v/>
      </c>
    </row>
    <row r="107">
      <c r="A107" s="22" t="inlineStr">
        <is>
          <t>6:45pm-7:15pm</t>
        </is>
      </c>
      <c r="B107" s="24">
        <f>IF(OR(SUMIFS('員工更表輸入'!$D$5:$D$39,'員工更表輸入'!$A$5:$A$39,'設定 Settings'!$A$6,'員工更表輸入'!$B$5:$B$39,B$88)&lt;=0,Lists!$C$20&lt;SUMIFS('員工更表輸入'!$C$5:$C$39,'員工更表輸入'!$A$5:$A$39,'設定 Settings'!$A$6,'員工更表輸入'!$B$5:$B$39,B$88),Lists!$C$20&gt;=SUMIFS('員工更表輸入'!$D$5:$D$39,'員工更表輸入'!$A$5:$A$39,'設定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Settings'!$A$6,'員工更表輸入'!$B$5:$B$39,B$88)&gt;0,Lists!$C$20&gt;=SUMIFS('員工更表輸入'!$E$5:$E$39,'員工更表輸入'!$A$5:$A$39,'設定 Settings'!$A$6,'員工更表輸入'!$B$5:$B$39,B$88),Lists!$C$20&lt;SUMIFS('員工更表輸入'!$F$5:$F$39,'員工更表輸入'!$A$5:$A$39,'設定 Settings'!$A$6,'員工更表輸入'!$B$5:$B$39,B$88)),"Break","Work"))</f>
        <v/>
      </c>
      <c r="C107" s="24">
        <f>IF(OR(SUMIFS('員工更表輸入'!$D$5:$D$39,'員工更表輸入'!$A$5:$A$39,'設定 Settings'!$A$6,'員工更表輸入'!$B$5:$B$39,C$88)&lt;=0,Lists!$C$20&lt;SUMIFS('員工更表輸入'!$C$5:$C$39,'員工更表輸入'!$A$5:$A$39,'設定 Settings'!$A$6,'員工更表輸入'!$B$5:$B$39,C$88),Lists!$C$20&gt;=SUMIFS('員工更表輸入'!$D$5:$D$39,'員工更表輸入'!$A$5:$A$39,'設定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Settings'!$A$6,'員工更表輸入'!$B$5:$B$39,C$88)&gt;0,Lists!$C$20&gt;=SUMIFS('員工更表輸入'!$E$5:$E$39,'員工更表輸入'!$A$5:$A$39,'設定 Settings'!$A$6,'員工更表輸入'!$B$5:$B$39,C$88),Lists!$C$20&lt;SUMIFS('員工更表輸入'!$F$5:$F$39,'員工更表輸入'!$A$5:$A$39,'設定 Settings'!$A$6,'員工更表輸入'!$B$5:$B$39,C$88)),"Break","Work"))</f>
        <v/>
      </c>
      <c r="D107" s="24">
        <f>IF(OR(SUMIFS('員工更表輸入'!$D$5:$D$39,'員工更表輸入'!$A$5:$A$39,'設定 Settings'!$A$6,'員工更表輸入'!$B$5:$B$39,D$88)&lt;=0,Lists!$C$20&lt;SUMIFS('員工更表輸入'!$C$5:$C$39,'員工更表輸入'!$A$5:$A$39,'設定 Settings'!$A$6,'員工更表輸入'!$B$5:$B$39,D$88),Lists!$C$20&gt;=SUMIFS('員工更表輸入'!$D$5:$D$39,'員工更表輸入'!$A$5:$A$39,'設定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Settings'!$A$6,'員工更表輸入'!$B$5:$B$39,D$88)&gt;0,Lists!$C$20&gt;=SUMIFS('員工更表輸入'!$E$5:$E$39,'員工更表輸入'!$A$5:$A$39,'設定 Settings'!$A$6,'員工更表輸入'!$B$5:$B$39,D$88),Lists!$C$20&lt;SUMIFS('員工更表輸入'!$F$5:$F$39,'員工更表輸入'!$A$5:$A$39,'設定 Settings'!$A$6,'員工更表輸入'!$B$5:$B$39,D$88)),"Break","Work"))</f>
        <v/>
      </c>
      <c r="E107" s="24">
        <f>IF(OR(SUMIFS('員工更表輸入'!$D$5:$D$39,'員工更表輸入'!$A$5:$A$39,'設定 Settings'!$A$6,'員工更表輸入'!$B$5:$B$39,E$88)&lt;=0,Lists!$C$20&lt;SUMIFS('員工更表輸入'!$C$5:$C$39,'員工更表輸入'!$A$5:$A$39,'設定 Settings'!$A$6,'員工更表輸入'!$B$5:$B$39,E$88),Lists!$C$20&gt;=SUMIFS('員工更表輸入'!$D$5:$D$39,'員工更表輸入'!$A$5:$A$39,'設定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Settings'!$A$6,'員工更表輸入'!$B$5:$B$39,E$88)&gt;0,Lists!$C$20&gt;=SUMIFS('員工更表輸入'!$E$5:$E$39,'員工更表輸入'!$A$5:$A$39,'設定 Settings'!$A$6,'員工更表輸入'!$B$5:$B$39,E$88),Lists!$C$20&lt;SUMIFS('員工更表輸入'!$F$5:$F$39,'員工更表輸入'!$A$5:$A$39,'設定 Settings'!$A$6,'員工更表輸入'!$B$5:$B$39,E$88)),"Break","Work"))</f>
        <v/>
      </c>
      <c r="F107" s="24">
        <f>IF(OR(SUMIFS('員工更表輸入'!$D$5:$D$39,'員工更表輸入'!$A$5:$A$39,'設定 Settings'!$A$6,'員工更表輸入'!$B$5:$B$39,F$88)&lt;=0,Lists!$C$20&lt;SUMIFS('員工更表輸入'!$C$5:$C$39,'員工更表輸入'!$A$5:$A$39,'設定 Settings'!$A$6,'員工更表輸入'!$B$5:$B$39,F$88),Lists!$C$20&gt;=SUMIFS('員工更表輸入'!$D$5:$D$39,'員工更表輸入'!$A$5:$A$39,'設定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Settings'!$A$6,'員工更表輸入'!$B$5:$B$39,F$88)&gt;0,Lists!$C$20&gt;=SUMIFS('員工更表輸入'!$E$5:$E$39,'員工更表輸入'!$A$5:$A$39,'設定 Settings'!$A$6,'員工更表輸入'!$B$5:$B$39,F$88),Lists!$C$20&lt;SUMIFS('員工更表輸入'!$F$5:$F$39,'員工更表輸入'!$A$5:$A$39,'設定 Settings'!$A$6,'員工更表輸入'!$B$5:$B$39,F$88)),"Break","Work"))</f>
        <v/>
      </c>
      <c r="G107" s="24">
        <f>IF(OR(SUMIFS('員工更表輸入'!$D$5:$D$39,'員工更表輸入'!$A$5:$A$39,'設定 Settings'!$A$6,'員工更表輸入'!$B$5:$B$39,G$88)&lt;=0,Lists!$C$20&lt;SUMIFS('員工更表輸入'!$C$5:$C$39,'員工更表輸入'!$A$5:$A$39,'設定 Settings'!$A$6,'員工更表輸入'!$B$5:$B$39,G$88),Lists!$C$20&gt;=SUMIFS('員工更表輸入'!$D$5:$D$39,'員工更表輸入'!$A$5:$A$39,'設定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Settings'!$A$6,'員工更表輸入'!$B$5:$B$39,G$88)&gt;0,Lists!$C$20&gt;=SUMIFS('員工更表輸入'!$E$5:$E$39,'員工更表輸入'!$A$5:$A$39,'設定 Settings'!$A$6,'員工更表輸入'!$B$5:$B$39,G$88),Lists!$C$20&lt;SUMIFS('員工更表輸入'!$F$5:$F$39,'員工更表輸入'!$A$5:$A$39,'設定 Settings'!$A$6,'員工更表輸入'!$B$5:$B$39,G$88)),"Break","Work"))</f>
        <v/>
      </c>
      <c r="H107" s="24">
        <f>IF(OR(SUMIFS('員工更表輸入'!$D$5:$D$39,'員工更表輸入'!$A$5:$A$39,'設定 Settings'!$A$6,'員工更表輸入'!$B$5:$B$39,H$88)&lt;=0,Lists!$C$20&lt;SUMIFS('員工更表輸入'!$C$5:$C$39,'員工更表輸入'!$A$5:$A$39,'設定 Settings'!$A$6,'員工更表輸入'!$B$5:$B$39,H$88),Lists!$C$20&gt;=SUMIFS('員工更表輸入'!$D$5:$D$39,'員工更表輸入'!$A$5:$A$39,'設定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Settings'!$A$6,'員工更表輸入'!$B$5:$B$39,H$88)&gt;0,Lists!$C$20&gt;=SUMIFS('員工更表輸入'!$E$5:$E$39,'員工更表輸入'!$A$5:$A$39,'設定 Settings'!$A$6,'員工更表輸入'!$B$5:$B$39,H$88),Lists!$C$20&lt;SUMIFS('員工更表輸入'!$F$5:$F$39,'員工更表輸入'!$A$5:$A$39,'設定 Settings'!$A$6,'員工更表輸入'!$B$5:$B$39,H$88)),"Break","Work"))</f>
        <v/>
      </c>
    </row>
    <row r="108">
      <c r="A108" s="22" t="inlineStr">
        <is>
          <t>7:15pm-7:45pm</t>
        </is>
      </c>
      <c r="B108" s="24">
        <f>IF(OR(SUMIFS('員工更表輸入'!$D$5:$D$39,'員工更表輸入'!$A$5:$A$39,'設定 Settings'!$A$6,'員工更表輸入'!$B$5:$B$39,B$88)&lt;=0,Lists!$C$21&lt;SUMIFS('員工更表輸入'!$C$5:$C$39,'員工更表輸入'!$A$5:$A$39,'設定 Settings'!$A$6,'員工更表輸入'!$B$5:$B$39,B$88),Lists!$C$21&gt;=SUMIFS('員工更表輸入'!$D$5:$D$39,'員工更表輸入'!$A$5:$A$39,'設定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Settings'!$A$6,'員工更表輸入'!$B$5:$B$39,B$88)&gt;0,Lists!$C$21&gt;=SUMIFS('員工更表輸入'!$E$5:$E$39,'員工更表輸入'!$A$5:$A$39,'設定 Settings'!$A$6,'員工更表輸入'!$B$5:$B$39,B$88),Lists!$C$21&lt;SUMIFS('員工更表輸入'!$F$5:$F$39,'員工更表輸入'!$A$5:$A$39,'設定 Settings'!$A$6,'員工更表輸入'!$B$5:$B$39,B$88)),"Break","Work"))</f>
        <v/>
      </c>
      <c r="C108" s="24">
        <f>IF(OR(SUMIFS('員工更表輸入'!$D$5:$D$39,'員工更表輸入'!$A$5:$A$39,'設定 Settings'!$A$6,'員工更表輸入'!$B$5:$B$39,C$88)&lt;=0,Lists!$C$21&lt;SUMIFS('員工更表輸入'!$C$5:$C$39,'員工更表輸入'!$A$5:$A$39,'設定 Settings'!$A$6,'員工更表輸入'!$B$5:$B$39,C$88),Lists!$C$21&gt;=SUMIFS('員工更表輸入'!$D$5:$D$39,'員工更表輸入'!$A$5:$A$39,'設定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Settings'!$A$6,'員工更表輸入'!$B$5:$B$39,C$88)&gt;0,Lists!$C$21&gt;=SUMIFS('員工更表輸入'!$E$5:$E$39,'員工更表輸入'!$A$5:$A$39,'設定 Settings'!$A$6,'員工更表輸入'!$B$5:$B$39,C$88),Lists!$C$21&lt;SUMIFS('員工更表輸入'!$F$5:$F$39,'員工更表輸入'!$A$5:$A$39,'設定 Settings'!$A$6,'員工更表輸入'!$B$5:$B$39,C$88)),"Break","Work"))</f>
        <v/>
      </c>
      <c r="D108" s="24">
        <f>IF(OR(SUMIFS('員工更表輸入'!$D$5:$D$39,'員工更表輸入'!$A$5:$A$39,'設定 Settings'!$A$6,'員工更表輸入'!$B$5:$B$39,D$88)&lt;=0,Lists!$C$21&lt;SUMIFS('員工更表輸入'!$C$5:$C$39,'員工更表輸入'!$A$5:$A$39,'設定 Settings'!$A$6,'員工更表輸入'!$B$5:$B$39,D$88),Lists!$C$21&gt;=SUMIFS('員工更表輸入'!$D$5:$D$39,'員工更表輸入'!$A$5:$A$39,'設定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Settings'!$A$6,'員工更表輸入'!$B$5:$B$39,D$88)&gt;0,Lists!$C$21&gt;=SUMIFS('員工更表輸入'!$E$5:$E$39,'員工更表輸入'!$A$5:$A$39,'設定 Settings'!$A$6,'員工更表輸入'!$B$5:$B$39,D$88),Lists!$C$21&lt;SUMIFS('員工更表輸入'!$F$5:$F$39,'員工更表輸入'!$A$5:$A$39,'設定 Settings'!$A$6,'員工更表輸入'!$B$5:$B$39,D$88)),"Break","Work"))</f>
        <v/>
      </c>
      <c r="E108" s="24">
        <f>IF(OR(SUMIFS('員工更表輸入'!$D$5:$D$39,'員工更表輸入'!$A$5:$A$39,'設定 Settings'!$A$6,'員工更表輸入'!$B$5:$B$39,E$88)&lt;=0,Lists!$C$21&lt;SUMIFS('員工更表輸入'!$C$5:$C$39,'員工更表輸入'!$A$5:$A$39,'設定 Settings'!$A$6,'員工更表輸入'!$B$5:$B$39,E$88),Lists!$C$21&gt;=SUMIFS('員工更表輸入'!$D$5:$D$39,'員工更表輸入'!$A$5:$A$39,'設定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Settings'!$A$6,'員工更表輸入'!$B$5:$B$39,E$88)&gt;0,Lists!$C$21&gt;=SUMIFS('員工更表輸入'!$E$5:$E$39,'員工更表輸入'!$A$5:$A$39,'設定 Settings'!$A$6,'員工更表輸入'!$B$5:$B$39,E$88),Lists!$C$21&lt;SUMIFS('員工更表輸入'!$F$5:$F$39,'員工更表輸入'!$A$5:$A$39,'設定 Settings'!$A$6,'員工更表輸入'!$B$5:$B$39,E$88)),"Break","Work"))</f>
        <v/>
      </c>
      <c r="F108" s="24">
        <f>IF(OR(SUMIFS('員工更表輸入'!$D$5:$D$39,'員工更表輸入'!$A$5:$A$39,'設定 Settings'!$A$6,'員工更表輸入'!$B$5:$B$39,F$88)&lt;=0,Lists!$C$21&lt;SUMIFS('員工更表輸入'!$C$5:$C$39,'員工更表輸入'!$A$5:$A$39,'設定 Settings'!$A$6,'員工更表輸入'!$B$5:$B$39,F$88),Lists!$C$21&gt;=SUMIFS('員工更表輸入'!$D$5:$D$39,'員工更表輸入'!$A$5:$A$39,'設定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Settings'!$A$6,'員工更表輸入'!$B$5:$B$39,F$88)&gt;0,Lists!$C$21&gt;=SUMIFS('員工更表輸入'!$E$5:$E$39,'員工更表輸入'!$A$5:$A$39,'設定 Settings'!$A$6,'員工更表輸入'!$B$5:$B$39,F$88),Lists!$C$21&lt;SUMIFS('員工更表輸入'!$F$5:$F$39,'員工更表輸入'!$A$5:$A$39,'設定 Settings'!$A$6,'員工更表輸入'!$B$5:$B$39,F$88)),"Break","Work"))</f>
        <v/>
      </c>
      <c r="G108" s="24">
        <f>IF(OR(SUMIFS('員工更表輸入'!$D$5:$D$39,'員工更表輸入'!$A$5:$A$39,'設定 Settings'!$A$6,'員工更表輸入'!$B$5:$B$39,G$88)&lt;=0,Lists!$C$21&lt;SUMIFS('員工更表輸入'!$C$5:$C$39,'員工更表輸入'!$A$5:$A$39,'設定 Settings'!$A$6,'員工更表輸入'!$B$5:$B$39,G$88),Lists!$C$21&gt;=SUMIFS('員工更表輸入'!$D$5:$D$39,'員工更表輸入'!$A$5:$A$39,'設定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Settings'!$A$6,'員工更表輸入'!$B$5:$B$39,G$88)&gt;0,Lists!$C$21&gt;=SUMIFS('員工更表輸入'!$E$5:$E$39,'員工更表輸入'!$A$5:$A$39,'設定 Settings'!$A$6,'員工更表輸入'!$B$5:$B$39,G$88),Lists!$C$21&lt;SUMIFS('員工更表輸入'!$F$5:$F$39,'員工更表輸入'!$A$5:$A$39,'設定 Settings'!$A$6,'員工更表輸入'!$B$5:$B$39,G$88)),"Break","Work"))</f>
        <v/>
      </c>
      <c r="H108" s="24">
        <f>IF(OR(SUMIFS('員工更表輸入'!$D$5:$D$39,'員工更表輸入'!$A$5:$A$39,'設定 Settings'!$A$6,'員工更表輸入'!$B$5:$B$39,H$88)&lt;=0,Lists!$C$21&lt;SUMIFS('員工更表輸入'!$C$5:$C$39,'員工更表輸入'!$A$5:$A$39,'設定 Settings'!$A$6,'員工更表輸入'!$B$5:$B$39,H$88),Lists!$C$21&gt;=SUMIFS('員工更表輸入'!$D$5:$D$39,'員工更表輸入'!$A$5:$A$39,'設定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Settings'!$A$6,'員工更表輸入'!$B$5:$B$39,H$88)&gt;0,Lists!$C$21&gt;=SUMIFS('員工更表輸入'!$E$5:$E$39,'員工更表輸入'!$A$5:$A$39,'設定 Settings'!$A$6,'員工更表輸入'!$B$5:$B$39,H$88),Lists!$C$21&lt;SUMIFS('員工更表輸入'!$F$5:$F$39,'員工更表輸入'!$A$5:$A$39,'設定 Settings'!$A$6,'員工更表輸入'!$B$5:$B$39,H$88)),"Break","Work"))</f>
        <v/>
      </c>
    </row>
    <row r="109">
      <c r="A109" s="22" t="inlineStr">
        <is>
          <t>7:45pm-8:15pm</t>
        </is>
      </c>
      <c r="B109" s="24">
        <f>IF(OR(SUMIFS('員工更表輸入'!$D$5:$D$39,'員工更表輸入'!$A$5:$A$39,'設定 Settings'!$A$6,'員工更表輸入'!$B$5:$B$39,B$88)&lt;=0,Lists!$C$22&lt;SUMIFS('員工更表輸入'!$C$5:$C$39,'員工更表輸入'!$A$5:$A$39,'設定 Settings'!$A$6,'員工更表輸入'!$B$5:$B$39,B$88),Lists!$C$22&gt;=SUMIFS('員工更表輸入'!$D$5:$D$39,'員工更表輸入'!$A$5:$A$39,'設定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Settings'!$A$6,'員工更表輸入'!$B$5:$B$39,B$88)&gt;0,Lists!$C$22&gt;=SUMIFS('員工更表輸入'!$E$5:$E$39,'員工更表輸入'!$A$5:$A$39,'設定 Settings'!$A$6,'員工更表輸入'!$B$5:$B$39,B$88),Lists!$C$22&lt;SUMIFS('員工更表輸入'!$F$5:$F$39,'員工更表輸入'!$A$5:$A$39,'設定 Settings'!$A$6,'員工更表輸入'!$B$5:$B$39,B$88)),"Break","Work"))</f>
        <v/>
      </c>
      <c r="C109" s="24">
        <f>IF(OR(SUMIFS('員工更表輸入'!$D$5:$D$39,'員工更表輸入'!$A$5:$A$39,'設定 Settings'!$A$6,'員工更表輸入'!$B$5:$B$39,C$88)&lt;=0,Lists!$C$22&lt;SUMIFS('員工更表輸入'!$C$5:$C$39,'員工更表輸入'!$A$5:$A$39,'設定 Settings'!$A$6,'員工更表輸入'!$B$5:$B$39,C$88),Lists!$C$22&gt;=SUMIFS('員工更表輸入'!$D$5:$D$39,'員工更表輸入'!$A$5:$A$39,'設定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Settings'!$A$6,'員工更表輸入'!$B$5:$B$39,C$88)&gt;0,Lists!$C$22&gt;=SUMIFS('員工更表輸入'!$E$5:$E$39,'員工更表輸入'!$A$5:$A$39,'設定 Settings'!$A$6,'員工更表輸入'!$B$5:$B$39,C$88),Lists!$C$22&lt;SUMIFS('員工更表輸入'!$F$5:$F$39,'員工更表輸入'!$A$5:$A$39,'設定 Settings'!$A$6,'員工更表輸入'!$B$5:$B$39,C$88)),"Break","Work"))</f>
        <v/>
      </c>
      <c r="D109" s="24">
        <f>IF(OR(SUMIFS('員工更表輸入'!$D$5:$D$39,'員工更表輸入'!$A$5:$A$39,'設定 Settings'!$A$6,'員工更表輸入'!$B$5:$B$39,D$88)&lt;=0,Lists!$C$22&lt;SUMIFS('員工更表輸入'!$C$5:$C$39,'員工更表輸入'!$A$5:$A$39,'設定 Settings'!$A$6,'員工更表輸入'!$B$5:$B$39,D$88),Lists!$C$22&gt;=SUMIFS('員工更表輸入'!$D$5:$D$39,'員工更表輸入'!$A$5:$A$39,'設定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Settings'!$A$6,'員工更表輸入'!$B$5:$B$39,D$88)&gt;0,Lists!$C$22&gt;=SUMIFS('員工更表輸入'!$E$5:$E$39,'員工更表輸入'!$A$5:$A$39,'設定 Settings'!$A$6,'員工更表輸入'!$B$5:$B$39,D$88),Lists!$C$22&lt;SUMIFS('員工更表輸入'!$F$5:$F$39,'員工更表輸入'!$A$5:$A$39,'設定 Settings'!$A$6,'員工更表輸入'!$B$5:$B$39,D$88)),"Break","Work"))</f>
        <v/>
      </c>
      <c r="E109" s="24">
        <f>IF(OR(SUMIFS('員工更表輸入'!$D$5:$D$39,'員工更表輸入'!$A$5:$A$39,'設定 Settings'!$A$6,'員工更表輸入'!$B$5:$B$39,E$88)&lt;=0,Lists!$C$22&lt;SUMIFS('員工更表輸入'!$C$5:$C$39,'員工更表輸入'!$A$5:$A$39,'設定 Settings'!$A$6,'員工更表輸入'!$B$5:$B$39,E$88),Lists!$C$22&gt;=SUMIFS('員工更表輸入'!$D$5:$D$39,'員工更表輸入'!$A$5:$A$39,'設定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Settings'!$A$6,'員工更表輸入'!$B$5:$B$39,E$88)&gt;0,Lists!$C$22&gt;=SUMIFS('員工更表輸入'!$E$5:$E$39,'員工更表輸入'!$A$5:$A$39,'設定 Settings'!$A$6,'員工更表輸入'!$B$5:$B$39,E$88),Lists!$C$22&lt;SUMIFS('員工更表輸入'!$F$5:$F$39,'員工更表輸入'!$A$5:$A$39,'設定 Settings'!$A$6,'員工更表輸入'!$B$5:$B$39,E$88)),"Break","Work"))</f>
        <v/>
      </c>
      <c r="F109" s="24">
        <f>IF(OR(SUMIFS('員工更表輸入'!$D$5:$D$39,'員工更表輸入'!$A$5:$A$39,'設定 Settings'!$A$6,'員工更表輸入'!$B$5:$B$39,F$88)&lt;=0,Lists!$C$22&lt;SUMIFS('員工更表輸入'!$C$5:$C$39,'員工更表輸入'!$A$5:$A$39,'設定 Settings'!$A$6,'員工更表輸入'!$B$5:$B$39,F$88),Lists!$C$22&gt;=SUMIFS('員工更表輸入'!$D$5:$D$39,'員工更表輸入'!$A$5:$A$39,'設定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Settings'!$A$6,'員工更表輸入'!$B$5:$B$39,F$88)&gt;0,Lists!$C$22&gt;=SUMIFS('員工更表輸入'!$E$5:$E$39,'員工更表輸入'!$A$5:$A$39,'設定 Settings'!$A$6,'員工更表輸入'!$B$5:$B$39,F$88),Lists!$C$22&lt;SUMIFS('員工更表輸入'!$F$5:$F$39,'員工更表輸入'!$A$5:$A$39,'設定 Settings'!$A$6,'員工更表輸入'!$B$5:$B$39,F$88)),"Break","Work"))</f>
        <v/>
      </c>
      <c r="G109" s="24">
        <f>IF(OR(SUMIFS('員工更表輸入'!$D$5:$D$39,'員工更表輸入'!$A$5:$A$39,'設定 Settings'!$A$6,'員工更表輸入'!$B$5:$B$39,G$88)&lt;=0,Lists!$C$22&lt;SUMIFS('員工更表輸入'!$C$5:$C$39,'員工更表輸入'!$A$5:$A$39,'設定 Settings'!$A$6,'員工更表輸入'!$B$5:$B$39,G$88),Lists!$C$22&gt;=SUMIFS('員工更表輸入'!$D$5:$D$39,'員工更表輸入'!$A$5:$A$39,'設定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Settings'!$A$6,'員工更表輸入'!$B$5:$B$39,G$88)&gt;0,Lists!$C$22&gt;=SUMIFS('員工更表輸入'!$E$5:$E$39,'員工更表輸入'!$A$5:$A$39,'設定 Settings'!$A$6,'員工更表輸入'!$B$5:$B$39,G$88),Lists!$C$22&lt;SUMIFS('員工更表輸入'!$F$5:$F$39,'員工更表輸入'!$A$5:$A$39,'設定 Settings'!$A$6,'員工更表輸入'!$B$5:$B$39,G$88)),"Break","Work"))</f>
        <v/>
      </c>
      <c r="H109" s="24">
        <f>IF(OR(SUMIFS('員工更表輸入'!$D$5:$D$39,'員工更表輸入'!$A$5:$A$39,'設定 Settings'!$A$6,'員工更表輸入'!$B$5:$B$39,H$88)&lt;=0,Lists!$C$22&lt;SUMIFS('員工更表輸入'!$C$5:$C$39,'員工更表輸入'!$A$5:$A$39,'設定 Settings'!$A$6,'員工更表輸入'!$B$5:$B$39,H$88),Lists!$C$22&gt;=SUMIFS('員工更表輸入'!$D$5:$D$39,'員工更表輸入'!$A$5:$A$39,'設定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Settings'!$A$6,'員工更表輸入'!$B$5:$B$39,H$88)&gt;0,Lists!$C$22&gt;=SUMIFS('員工更表輸入'!$E$5:$E$39,'員工更表輸入'!$A$5:$A$39,'設定 Settings'!$A$6,'員工更表輸入'!$B$5:$B$39,H$88),Lists!$C$22&lt;SUMIFS('員工更表輸入'!$F$5:$F$39,'員工更表輸入'!$A$5:$A$39,'設定 Settings'!$A$6,'員工更表輸入'!$B$5:$B$39,H$88)),"Break","Work"))</f>
        <v/>
      </c>
    </row>
    <row r="110">
      <c r="A110" s="22" t="inlineStr">
        <is>
          <t>8:15pm-8:45pm</t>
        </is>
      </c>
      <c r="B110" s="24">
        <f>IF(OR(SUMIFS('員工更表輸入'!$D$5:$D$39,'員工更表輸入'!$A$5:$A$39,'設定 Settings'!$A$6,'員工更表輸入'!$B$5:$B$39,B$88)&lt;=0,Lists!$C$23&lt;SUMIFS('員工更表輸入'!$C$5:$C$39,'員工更表輸入'!$A$5:$A$39,'設定 Settings'!$A$6,'員工更表輸入'!$B$5:$B$39,B$88),Lists!$C$23&gt;=SUMIFS('員工更表輸入'!$D$5:$D$39,'員工更表輸入'!$A$5:$A$39,'設定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Settings'!$A$6,'員工更表輸入'!$B$5:$B$39,B$88)&gt;0,Lists!$C$23&gt;=SUMIFS('員工更表輸入'!$E$5:$E$39,'員工更表輸入'!$A$5:$A$39,'設定 Settings'!$A$6,'員工更表輸入'!$B$5:$B$39,B$88),Lists!$C$23&lt;SUMIFS('員工更表輸入'!$F$5:$F$39,'員工更表輸入'!$A$5:$A$39,'設定 Settings'!$A$6,'員工更表輸入'!$B$5:$B$39,B$88)),"Break","Work"))</f>
        <v/>
      </c>
      <c r="C110" s="24">
        <f>IF(OR(SUMIFS('員工更表輸入'!$D$5:$D$39,'員工更表輸入'!$A$5:$A$39,'設定 Settings'!$A$6,'員工更表輸入'!$B$5:$B$39,C$88)&lt;=0,Lists!$C$23&lt;SUMIFS('員工更表輸入'!$C$5:$C$39,'員工更表輸入'!$A$5:$A$39,'設定 Settings'!$A$6,'員工更表輸入'!$B$5:$B$39,C$88),Lists!$C$23&gt;=SUMIFS('員工更表輸入'!$D$5:$D$39,'員工更表輸入'!$A$5:$A$39,'設定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Settings'!$A$6,'員工更表輸入'!$B$5:$B$39,C$88)&gt;0,Lists!$C$23&gt;=SUMIFS('員工更表輸入'!$E$5:$E$39,'員工更表輸入'!$A$5:$A$39,'設定 Settings'!$A$6,'員工更表輸入'!$B$5:$B$39,C$88),Lists!$C$23&lt;SUMIFS('員工更表輸入'!$F$5:$F$39,'員工更表輸入'!$A$5:$A$39,'設定 Settings'!$A$6,'員工更表輸入'!$B$5:$B$39,C$88)),"Break","Work"))</f>
        <v/>
      </c>
      <c r="D110" s="24">
        <f>IF(OR(SUMIFS('員工更表輸入'!$D$5:$D$39,'員工更表輸入'!$A$5:$A$39,'設定 Settings'!$A$6,'員工更表輸入'!$B$5:$B$39,D$88)&lt;=0,Lists!$C$23&lt;SUMIFS('員工更表輸入'!$C$5:$C$39,'員工更表輸入'!$A$5:$A$39,'設定 Settings'!$A$6,'員工更表輸入'!$B$5:$B$39,D$88),Lists!$C$23&gt;=SUMIFS('員工更表輸入'!$D$5:$D$39,'員工更表輸入'!$A$5:$A$39,'設定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Settings'!$A$6,'員工更表輸入'!$B$5:$B$39,D$88)&gt;0,Lists!$C$23&gt;=SUMIFS('員工更表輸入'!$E$5:$E$39,'員工更表輸入'!$A$5:$A$39,'設定 Settings'!$A$6,'員工更表輸入'!$B$5:$B$39,D$88),Lists!$C$23&lt;SUMIFS('員工更表輸入'!$F$5:$F$39,'員工更表輸入'!$A$5:$A$39,'設定 Settings'!$A$6,'員工更表輸入'!$B$5:$B$39,D$88)),"Break","Work"))</f>
        <v/>
      </c>
      <c r="E110" s="24">
        <f>IF(OR(SUMIFS('員工更表輸入'!$D$5:$D$39,'員工更表輸入'!$A$5:$A$39,'設定 Settings'!$A$6,'員工更表輸入'!$B$5:$B$39,E$88)&lt;=0,Lists!$C$23&lt;SUMIFS('員工更表輸入'!$C$5:$C$39,'員工更表輸入'!$A$5:$A$39,'設定 Settings'!$A$6,'員工更表輸入'!$B$5:$B$39,E$88),Lists!$C$23&gt;=SUMIFS('員工更表輸入'!$D$5:$D$39,'員工更表輸入'!$A$5:$A$39,'設定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Settings'!$A$6,'員工更表輸入'!$B$5:$B$39,E$88)&gt;0,Lists!$C$23&gt;=SUMIFS('員工更表輸入'!$E$5:$E$39,'員工更表輸入'!$A$5:$A$39,'設定 Settings'!$A$6,'員工更表輸入'!$B$5:$B$39,E$88),Lists!$C$23&lt;SUMIFS('員工更表輸入'!$F$5:$F$39,'員工更表輸入'!$A$5:$A$39,'設定 Settings'!$A$6,'員工更表輸入'!$B$5:$B$39,E$88)),"Break","Work"))</f>
        <v/>
      </c>
      <c r="F110" s="24">
        <f>IF(OR(SUMIFS('員工更表輸入'!$D$5:$D$39,'員工更表輸入'!$A$5:$A$39,'設定 Settings'!$A$6,'員工更表輸入'!$B$5:$B$39,F$88)&lt;=0,Lists!$C$23&lt;SUMIFS('員工更表輸入'!$C$5:$C$39,'員工更表輸入'!$A$5:$A$39,'設定 Settings'!$A$6,'員工更表輸入'!$B$5:$B$39,F$88),Lists!$C$23&gt;=SUMIFS('員工更表輸入'!$D$5:$D$39,'員工更表輸入'!$A$5:$A$39,'設定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Settings'!$A$6,'員工更表輸入'!$B$5:$B$39,F$88)&gt;0,Lists!$C$23&gt;=SUMIFS('員工更表輸入'!$E$5:$E$39,'員工更表輸入'!$A$5:$A$39,'設定 Settings'!$A$6,'員工更表輸入'!$B$5:$B$39,F$88),Lists!$C$23&lt;SUMIFS('員工更表輸入'!$F$5:$F$39,'員工更表輸入'!$A$5:$A$39,'設定 Settings'!$A$6,'員工更表輸入'!$B$5:$B$39,F$88)),"Break","Work"))</f>
        <v/>
      </c>
      <c r="G110" s="24">
        <f>IF(OR(SUMIFS('員工更表輸入'!$D$5:$D$39,'員工更表輸入'!$A$5:$A$39,'設定 Settings'!$A$6,'員工更表輸入'!$B$5:$B$39,G$88)&lt;=0,Lists!$C$23&lt;SUMIFS('員工更表輸入'!$C$5:$C$39,'員工更表輸入'!$A$5:$A$39,'設定 Settings'!$A$6,'員工更表輸入'!$B$5:$B$39,G$88),Lists!$C$23&gt;=SUMIFS('員工更表輸入'!$D$5:$D$39,'員工更表輸入'!$A$5:$A$39,'設定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Settings'!$A$6,'員工更表輸入'!$B$5:$B$39,G$88)&gt;0,Lists!$C$23&gt;=SUMIFS('員工更表輸入'!$E$5:$E$39,'員工更表輸入'!$A$5:$A$39,'設定 Settings'!$A$6,'員工更表輸入'!$B$5:$B$39,G$88),Lists!$C$23&lt;SUMIFS('員工更表輸入'!$F$5:$F$39,'員工更表輸入'!$A$5:$A$39,'設定 Settings'!$A$6,'員工更表輸入'!$B$5:$B$39,G$88)),"Break","Work"))</f>
        <v/>
      </c>
      <c r="H110" s="24">
        <f>IF(OR(SUMIFS('員工更表輸入'!$D$5:$D$39,'員工更表輸入'!$A$5:$A$39,'設定 Settings'!$A$6,'員工更表輸入'!$B$5:$B$39,H$88)&lt;=0,Lists!$C$23&lt;SUMIFS('員工更表輸入'!$C$5:$C$39,'員工更表輸入'!$A$5:$A$39,'設定 Settings'!$A$6,'員工更表輸入'!$B$5:$B$39,H$88),Lists!$C$23&gt;=SUMIFS('員工更表輸入'!$D$5:$D$39,'員工更表輸入'!$A$5:$A$39,'設定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Settings'!$A$6,'員工更表輸入'!$B$5:$B$39,H$88)&gt;0,Lists!$C$23&gt;=SUMIFS('員工更表輸入'!$E$5:$E$39,'員工更表輸入'!$A$5:$A$39,'設定 Settings'!$A$6,'員工更表輸入'!$B$5:$B$39,H$88),Lists!$C$23&lt;SUMIFS('員工更表輸入'!$F$5:$F$39,'員工更表輸入'!$A$5:$A$39,'設定 Settings'!$A$6,'員工更表輸入'!$B$5:$B$39,H$88)),"Break","Work"))</f>
        <v/>
      </c>
    </row>
    <row r="111">
      <c r="A111" s="22" t="inlineStr">
        <is>
          <t>8:45pm-9:15pm</t>
        </is>
      </c>
      <c r="B111" s="24">
        <f>IF(OR(SUMIFS('員工更表輸入'!$D$5:$D$39,'員工更表輸入'!$A$5:$A$39,'設定 Settings'!$A$6,'員工更表輸入'!$B$5:$B$39,B$88)&lt;=0,Lists!$C$24&lt;SUMIFS('員工更表輸入'!$C$5:$C$39,'員工更表輸入'!$A$5:$A$39,'設定 Settings'!$A$6,'員工更表輸入'!$B$5:$B$39,B$88),Lists!$C$24&gt;=SUMIFS('員工更表輸入'!$D$5:$D$39,'員工更表輸入'!$A$5:$A$39,'設定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Settings'!$A$6,'員工更表輸入'!$B$5:$B$39,B$88)&gt;0,Lists!$C$24&gt;=SUMIFS('員工更表輸入'!$E$5:$E$39,'員工更表輸入'!$A$5:$A$39,'設定 Settings'!$A$6,'員工更表輸入'!$B$5:$B$39,B$88),Lists!$C$24&lt;SUMIFS('員工更表輸入'!$F$5:$F$39,'員工更表輸入'!$A$5:$A$39,'設定 Settings'!$A$6,'員工更表輸入'!$B$5:$B$39,B$88)),"Break","Work"))</f>
        <v/>
      </c>
      <c r="C111" s="24">
        <f>IF(OR(SUMIFS('員工更表輸入'!$D$5:$D$39,'員工更表輸入'!$A$5:$A$39,'設定 Settings'!$A$6,'員工更表輸入'!$B$5:$B$39,C$88)&lt;=0,Lists!$C$24&lt;SUMIFS('員工更表輸入'!$C$5:$C$39,'員工更表輸入'!$A$5:$A$39,'設定 Settings'!$A$6,'員工更表輸入'!$B$5:$B$39,C$88),Lists!$C$24&gt;=SUMIFS('員工更表輸入'!$D$5:$D$39,'員工更表輸入'!$A$5:$A$39,'設定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Settings'!$A$6,'員工更表輸入'!$B$5:$B$39,C$88)&gt;0,Lists!$C$24&gt;=SUMIFS('員工更表輸入'!$E$5:$E$39,'員工更表輸入'!$A$5:$A$39,'設定 Settings'!$A$6,'員工更表輸入'!$B$5:$B$39,C$88),Lists!$C$24&lt;SUMIFS('員工更表輸入'!$F$5:$F$39,'員工更表輸入'!$A$5:$A$39,'設定 Settings'!$A$6,'員工更表輸入'!$B$5:$B$39,C$88)),"Break","Work"))</f>
        <v/>
      </c>
      <c r="D111" s="24">
        <f>IF(OR(SUMIFS('員工更表輸入'!$D$5:$D$39,'員工更表輸入'!$A$5:$A$39,'設定 Settings'!$A$6,'員工更表輸入'!$B$5:$B$39,D$88)&lt;=0,Lists!$C$24&lt;SUMIFS('員工更表輸入'!$C$5:$C$39,'員工更表輸入'!$A$5:$A$39,'設定 Settings'!$A$6,'員工更表輸入'!$B$5:$B$39,D$88),Lists!$C$24&gt;=SUMIFS('員工更表輸入'!$D$5:$D$39,'員工更表輸入'!$A$5:$A$39,'設定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Settings'!$A$6,'員工更表輸入'!$B$5:$B$39,D$88)&gt;0,Lists!$C$24&gt;=SUMIFS('員工更表輸入'!$E$5:$E$39,'員工更表輸入'!$A$5:$A$39,'設定 Settings'!$A$6,'員工更表輸入'!$B$5:$B$39,D$88),Lists!$C$24&lt;SUMIFS('員工更表輸入'!$F$5:$F$39,'員工更表輸入'!$A$5:$A$39,'設定 Settings'!$A$6,'員工更表輸入'!$B$5:$B$39,D$88)),"Break","Work"))</f>
        <v/>
      </c>
      <c r="E111" s="24">
        <f>IF(OR(SUMIFS('員工更表輸入'!$D$5:$D$39,'員工更表輸入'!$A$5:$A$39,'設定 Settings'!$A$6,'員工更表輸入'!$B$5:$B$39,E$88)&lt;=0,Lists!$C$24&lt;SUMIFS('員工更表輸入'!$C$5:$C$39,'員工更表輸入'!$A$5:$A$39,'設定 Settings'!$A$6,'員工更表輸入'!$B$5:$B$39,E$88),Lists!$C$24&gt;=SUMIFS('員工更表輸入'!$D$5:$D$39,'員工更表輸入'!$A$5:$A$39,'設定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Settings'!$A$6,'員工更表輸入'!$B$5:$B$39,E$88)&gt;0,Lists!$C$24&gt;=SUMIFS('員工更表輸入'!$E$5:$E$39,'員工更表輸入'!$A$5:$A$39,'設定 Settings'!$A$6,'員工更表輸入'!$B$5:$B$39,E$88),Lists!$C$24&lt;SUMIFS('員工更表輸入'!$F$5:$F$39,'員工更表輸入'!$A$5:$A$39,'設定 Settings'!$A$6,'員工更表輸入'!$B$5:$B$39,E$88)),"Break","Work"))</f>
        <v/>
      </c>
      <c r="F111" s="24">
        <f>IF(OR(SUMIFS('員工更表輸入'!$D$5:$D$39,'員工更表輸入'!$A$5:$A$39,'設定 Settings'!$A$6,'員工更表輸入'!$B$5:$B$39,F$88)&lt;=0,Lists!$C$24&lt;SUMIFS('員工更表輸入'!$C$5:$C$39,'員工更表輸入'!$A$5:$A$39,'設定 Settings'!$A$6,'員工更表輸入'!$B$5:$B$39,F$88),Lists!$C$24&gt;=SUMIFS('員工更表輸入'!$D$5:$D$39,'員工更表輸入'!$A$5:$A$39,'設定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Settings'!$A$6,'員工更表輸入'!$B$5:$B$39,F$88)&gt;0,Lists!$C$24&gt;=SUMIFS('員工更表輸入'!$E$5:$E$39,'員工更表輸入'!$A$5:$A$39,'設定 Settings'!$A$6,'員工更表輸入'!$B$5:$B$39,F$88),Lists!$C$24&lt;SUMIFS('員工更表輸入'!$F$5:$F$39,'員工更表輸入'!$A$5:$A$39,'設定 Settings'!$A$6,'員工更表輸入'!$B$5:$B$39,F$88)),"Break","Work"))</f>
        <v/>
      </c>
      <c r="G111" s="24">
        <f>IF(OR(SUMIFS('員工更表輸入'!$D$5:$D$39,'員工更表輸入'!$A$5:$A$39,'設定 Settings'!$A$6,'員工更表輸入'!$B$5:$B$39,G$88)&lt;=0,Lists!$C$24&lt;SUMIFS('員工更表輸入'!$C$5:$C$39,'員工更表輸入'!$A$5:$A$39,'設定 Settings'!$A$6,'員工更表輸入'!$B$5:$B$39,G$88),Lists!$C$24&gt;=SUMIFS('員工更表輸入'!$D$5:$D$39,'員工更表輸入'!$A$5:$A$39,'設定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Settings'!$A$6,'員工更表輸入'!$B$5:$B$39,G$88)&gt;0,Lists!$C$24&gt;=SUMIFS('員工更表輸入'!$E$5:$E$39,'員工更表輸入'!$A$5:$A$39,'設定 Settings'!$A$6,'員工更表輸入'!$B$5:$B$39,G$88),Lists!$C$24&lt;SUMIFS('員工更表輸入'!$F$5:$F$39,'員工更表輸入'!$A$5:$A$39,'設定 Settings'!$A$6,'員工更表輸入'!$B$5:$B$39,G$88)),"Break","Work"))</f>
        <v/>
      </c>
      <c r="H111" s="24">
        <f>IF(OR(SUMIFS('員工更表輸入'!$D$5:$D$39,'員工更表輸入'!$A$5:$A$39,'設定 Settings'!$A$6,'員工更表輸入'!$B$5:$B$39,H$88)&lt;=0,Lists!$C$24&lt;SUMIFS('員工更表輸入'!$C$5:$C$39,'員工更表輸入'!$A$5:$A$39,'設定 Settings'!$A$6,'員工更表輸入'!$B$5:$B$39,H$88),Lists!$C$24&gt;=SUMIFS('員工更表輸入'!$D$5:$D$39,'員工更表輸入'!$A$5:$A$39,'設定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Settings'!$A$6,'員工更表輸入'!$B$5:$B$39,H$88)&gt;0,Lists!$C$24&gt;=SUMIFS('員工更表輸入'!$E$5:$E$39,'員工更表輸入'!$A$5:$A$39,'設定 Settings'!$A$6,'員工更表輸入'!$B$5:$B$39,H$88),Lists!$C$24&lt;SUMIFS('員工更表輸入'!$F$5:$F$39,'員工更表輸入'!$A$5:$A$39,'設定 Settings'!$A$6,'員工更表輸入'!$B$5:$B$39,H$88)),"Break","Work"))</f>
        <v/>
      </c>
    </row>
    <row r="112">
      <c r="A112" s="22" t="inlineStr">
        <is>
          <t>9:15pm-9:45pm</t>
        </is>
      </c>
      <c r="B112" s="24">
        <f>IF(OR(SUMIFS('員工更表輸入'!$D$5:$D$39,'員工更表輸入'!$A$5:$A$39,'設定 Settings'!$A$6,'員工更表輸入'!$B$5:$B$39,B$88)&lt;=0,Lists!$C$25&lt;SUMIFS('員工更表輸入'!$C$5:$C$39,'員工更表輸入'!$A$5:$A$39,'設定 Settings'!$A$6,'員工更表輸入'!$B$5:$B$39,B$88),Lists!$C$25&gt;=SUMIFS('員工更表輸入'!$D$5:$D$39,'員工更表輸入'!$A$5:$A$39,'設定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Settings'!$A$6,'員工更表輸入'!$B$5:$B$39,B$88)&gt;0,Lists!$C$25&gt;=SUMIFS('員工更表輸入'!$E$5:$E$39,'員工更表輸入'!$A$5:$A$39,'設定 Settings'!$A$6,'員工更表輸入'!$B$5:$B$39,B$88),Lists!$C$25&lt;SUMIFS('員工更表輸入'!$F$5:$F$39,'員工更表輸入'!$A$5:$A$39,'設定 Settings'!$A$6,'員工更表輸入'!$B$5:$B$39,B$88)),"Break","Work"))</f>
        <v/>
      </c>
      <c r="C112" s="24">
        <f>IF(OR(SUMIFS('員工更表輸入'!$D$5:$D$39,'員工更表輸入'!$A$5:$A$39,'設定 Settings'!$A$6,'員工更表輸入'!$B$5:$B$39,C$88)&lt;=0,Lists!$C$25&lt;SUMIFS('員工更表輸入'!$C$5:$C$39,'員工更表輸入'!$A$5:$A$39,'設定 Settings'!$A$6,'員工更表輸入'!$B$5:$B$39,C$88),Lists!$C$25&gt;=SUMIFS('員工更表輸入'!$D$5:$D$39,'員工更表輸入'!$A$5:$A$39,'設定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Settings'!$A$6,'員工更表輸入'!$B$5:$B$39,C$88)&gt;0,Lists!$C$25&gt;=SUMIFS('員工更表輸入'!$E$5:$E$39,'員工更表輸入'!$A$5:$A$39,'設定 Settings'!$A$6,'員工更表輸入'!$B$5:$B$39,C$88),Lists!$C$25&lt;SUMIFS('員工更表輸入'!$F$5:$F$39,'員工更表輸入'!$A$5:$A$39,'設定 Settings'!$A$6,'員工更表輸入'!$B$5:$B$39,C$88)),"Break","Work"))</f>
        <v/>
      </c>
      <c r="D112" s="24">
        <f>IF(OR(SUMIFS('員工更表輸入'!$D$5:$D$39,'員工更表輸入'!$A$5:$A$39,'設定 Settings'!$A$6,'員工更表輸入'!$B$5:$B$39,D$88)&lt;=0,Lists!$C$25&lt;SUMIFS('員工更表輸入'!$C$5:$C$39,'員工更表輸入'!$A$5:$A$39,'設定 Settings'!$A$6,'員工更表輸入'!$B$5:$B$39,D$88),Lists!$C$25&gt;=SUMIFS('員工更表輸入'!$D$5:$D$39,'員工更表輸入'!$A$5:$A$39,'設定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Settings'!$A$6,'員工更表輸入'!$B$5:$B$39,D$88)&gt;0,Lists!$C$25&gt;=SUMIFS('員工更表輸入'!$E$5:$E$39,'員工更表輸入'!$A$5:$A$39,'設定 Settings'!$A$6,'員工更表輸入'!$B$5:$B$39,D$88),Lists!$C$25&lt;SUMIFS('員工更表輸入'!$F$5:$F$39,'員工更表輸入'!$A$5:$A$39,'設定 Settings'!$A$6,'員工更表輸入'!$B$5:$B$39,D$88)),"Break","Work"))</f>
        <v/>
      </c>
      <c r="E112" s="24">
        <f>IF(OR(SUMIFS('員工更表輸入'!$D$5:$D$39,'員工更表輸入'!$A$5:$A$39,'設定 Settings'!$A$6,'員工更表輸入'!$B$5:$B$39,E$88)&lt;=0,Lists!$C$25&lt;SUMIFS('員工更表輸入'!$C$5:$C$39,'員工更表輸入'!$A$5:$A$39,'設定 Settings'!$A$6,'員工更表輸入'!$B$5:$B$39,E$88),Lists!$C$25&gt;=SUMIFS('員工更表輸入'!$D$5:$D$39,'員工更表輸入'!$A$5:$A$39,'設定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Settings'!$A$6,'員工更表輸入'!$B$5:$B$39,E$88)&gt;0,Lists!$C$25&gt;=SUMIFS('員工更表輸入'!$E$5:$E$39,'員工更表輸入'!$A$5:$A$39,'設定 Settings'!$A$6,'員工更表輸入'!$B$5:$B$39,E$88),Lists!$C$25&lt;SUMIFS('員工更表輸入'!$F$5:$F$39,'員工更表輸入'!$A$5:$A$39,'設定 Settings'!$A$6,'員工更表輸入'!$B$5:$B$39,E$88)),"Break","Work"))</f>
        <v/>
      </c>
      <c r="F112" s="24">
        <f>IF(OR(SUMIFS('員工更表輸入'!$D$5:$D$39,'員工更表輸入'!$A$5:$A$39,'設定 Settings'!$A$6,'員工更表輸入'!$B$5:$B$39,F$88)&lt;=0,Lists!$C$25&lt;SUMIFS('員工更表輸入'!$C$5:$C$39,'員工更表輸入'!$A$5:$A$39,'設定 Settings'!$A$6,'員工更表輸入'!$B$5:$B$39,F$88),Lists!$C$25&gt;=SUMIFS('員工更表輸入'!$D$5:$D$39,'員工更表輸入'!$A$5:$A$39,'設定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Settings'!$A$6,'員工更表輸入'!$B$5:$B$39,F$88)&gt;0,Lists!$C$25&gt;=SUMIFS('員工更表輸入'!$E$5:$E$39,'員工更表輸入'!$A$5:$A$39,'設定 Settings'!$A$6,'員工更表輸入'!$B$5:$B$39,F$88),Lists!$C$25&lt;SUMIFS('員工更表輸入'!$F$5:$F$39,'員工更表輸入'!$A$5:$A$39,'設定 Settings'!$A$6,'員工更表輸入'!$B$5:$B$39,F$88)),"Break","Work"))</f>
        <v/>
      </c>
      <c r="G112" s="24">
        <f>IF(OR(SUMIFS('員工更表輸入'!$D$5:$D$39,'員工更表輸入'!$A$5:$A$39,'設定 Settings'!$A$6,'員工更表輸入'!$B$5:$B$39,G$88)&lt;=0,Lists!$C$25&lt;SUMIFS('員工更表輸入'!$C$5:$C$39,'員工更表輸入'!$A$5:$A$39,'設定 Settings'!$A$6,'員工更表輸入'!$B$5:$B$39,G$88),Lists!$C$25&gt;=SUMIFS('員工更表輸入'!$D$5:$D$39,'員工更表輸入'!$A$5:$A$39,'設定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Settings'!$A$6,'員工更表輸入'!$B$5:$B$39,G$88)&gt;0,Lists!$C$25&gt;=SUMIFS('員工更表輸入'!$E$5:$E$39,'員工更表輸入'!$A$5:$A$39,'設定 Settings'!$A$6,'員工更表輸入'!$B$5:$B$39,G$88),Lists!$C$25&lt;SUMIFS('員工更表輸入'!$F$5:$F$39,'員工更表輸入'!$A$5:$A$39,'設定 Settings'!$A$6,'員工更表輸入'!$B$5:$B$39,G$88)),"Break","Work"))</f>
        <v/>
      </c>
      <c r="H112" s="24">
        <f>IF(OR(SUMIFS('員工更表輸入'!$D$5:$D$39,'員工更表輸入'!$A$5:$A$39,'設定 Settings'!$A$6,'員工更表輸入'!$B$5:$B$39,H$88)&lt;=0,Lists!$C$25&lt;SUMIFS('員工更表輸入'!$C$5:$C$39,'員工更表輸入'!$A$5:$A$39,'設定 Settings'!$A$6,'員工更表輸入'!$B$5:$B$39,H$88),Lists!$C$25&gt;=SUMIFS('員工更表輸入'!$D$5:$D$39,'員工更表輸入'!$A$5:$A$39,'設定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Settings'!$A$6,'員工更表輸入'!$B$5:$B$39,H$88)&gt;0,Lists!$C$25&gt;=SUMIFS('員工更表輸入'!$E$5:$E$39,'員工更表輸入'!$A$5:$A$39,'設定 Settings'!$A$6,'員工更表輸入'!$B$5:$B$39,H$88),Lists!$C$25&lt;SUMIFS('員工更表輸入'!$F$5:$F$39,'員工更表輸入'!$A$5:$A$39,'設定 Settings'!$A$6,'員工更表輸入'!$B$5:$B$39,H$88)),"Break","Work"))</f>
        <v/>
      </c>
    </row>
    <row r="113">
      <c r="A113" s="22" t="inlineStr">
        <is>
          <t>9:45pm-10:15pm</t>
        </is>
      </c>
      <c r="B113" s="24">
        <f>IF(OR(SUMIFS('員工更表輸入'!$D$5:$D$39,'員工更表輸入'!$A$5:$A$39,'設定 Settings'!$A$6,'員工更表輸入'!$B$5:$B$39,B$88)&lt;=0,Lists!$C$26&lt;SUMIFS('員工更表輸入'!$C$5:$C$39,'員工更表輸入'!$A$5:$A$39,'設定 Settings'!$A$6,'員工更表輸入'!$B$5:$B$39,B$88),Lists!$C$26&gt;=SUMIFS('員工更表輸入'!$D$5:$D$39,'員工更表輸入'!$A$5:$A$39,'設定 Settings'!$A$6,'員工更表輸入'!$B$5:$B$39,B$88)),"",IF(AND(SUMIFS('員工更表輸入'!$F$5:$F$39,'員工更表輸入'!$A$5:$A$39,'設定 Settings'!$A$6,'員工更表輸入'!$B$5:$B$39,B$88)&gt;0,Lists!$C$26&gt;=SUMIFS('員工更表輸入'!$E$5:$E$39,'員工更表輸入'!$A$5:$A$39,'設定 Settings'!$A$6,'員工更表輸入'!$B$5:$B$39,B$88),Lists!$C$26&lt;SUMIFS('員工更表輸入'!$F$5:$F$39,'員工更表輸入'!$A$5:$A$39,'設定 Settings'!$A$6,'員工更表輸入'!$B$5:$B$39,B$88)),"Break","Work"))</f>
        <v/>
      </c>
      <c r="C113" s="24">
        <f>IF(OR(SUMIFS('員工更表輸入'!$D$5:$D$39,'員工更表輸入'!$A$5:$A$39,'設定 Settings'!$A$6,'員工更表輸入'!$B$5:$B$39,C$88)&lt;=0,Lists!$C$26&lt;SUMIFS('員工更表輸入'!$C$5:$C$39,'員工更表輸入'!$A$5:$A$39,'設定 Settings'!$A$6,'員工更表輸入'!$B$5:$B$39,C$88),Lists!$C$26&gt;=SUMIFS('員工更表輸入'!$D$5:$D$39,'員工更表輸入'!$A$5:$A$39,'設定 Settings'!$A$6,'員工更表輸入'!$B$5:$B$39,C$88)),"",IF(AND(SUMIFS('員工更表輸入'!$F$5:$F$39,'員工更表輸入'!$A$5:$A$39,'設定 Settings'!$A$6,'員工更表輸入'!$B$5:$B$39,C$88)&gt;0,Lists!$C$26&gt;=SUMIFS('員工更表輸入'!$E$5:$E$39,'員工更表輸入'!$A$5:$A$39,'設定 Settings'!$A$6,'員工更表輸入'!$B$5:$B$39,C$88),Lists!$C$26&lt;SUMIFS('員工更表輸入'!$F$5:$F$39,'員工更表輸入'!$A$5:$A$39,'設定 Settings'!$A$6,'員工更表輸入'!$B$5:$B$39,C$88)),"Break","Work"))</f>
        <v/>
      </c>
      <c r="D113" s="24">
        <f>IF(OR(SUMIFS('員工更表輸入'!$D$5:$D$39,'員工更表輸入'!$A$5:$A$39,'設定 Settings'!$A$6,'員工更表輸入'!$B$5:$B$39,D$88)&lt;=0,Lists!$C$26&lt;SUMIFS('員工更表輸入'!$C$5:$C$39,'員工更表輸入'!$A$5:$A$39,'設定 Settings'!$A$6,'員工更表輸入'!$B$5:$B$39,D$88),Lists!$C$26&gt;=SUMIFS('員工更表輸入'!$D$5:$D$39,'員工更表輸入'!$A$5:$A$39,'設定 Settings'!$A$6,'員工更表輸入'!$B$5:$B$39,D$88)),"",IF(AND(SUMIFS('員工更表輸入'!$F$5:$F$39,'員工更表輸入'!$A$5:$A$39,'設定 Settings'!$A$6,'員工更表輸入'!$B$5:$B$39,D$88)&gt;0,Lists!$C$26&gt;=SUMIFS('員工更表輸入'!$E$5:$E$39,'員工更表輸入'!$A$5:$A$39,'設定 Settings'!$A$6,'員工更表輸入'!$B$5:$B$39,D$88),Lists!$C$26&lt;SUMIFS('員工更表輸入'!$F$5:$F$39,'員工更表輸入'!$A$5:$A$39,'設定 Settings'!$A$6,'員工更表輸入'!$B$5:$B$39,D$88)),"Break","Work"))</f>
        <v/>
      </c>
      <c r="E113" s="24">
        <f>IF(OR(SUMIFS('員工更表輸入'!$D$5:$D$39,'員工更表輸入'!$A$5:$A$39,'設定 Settings'!$A$6,'員工更表輸入'!$B$5:$B$39,E$88)&lt;=0,Lists!$C$26&lt;SUMIFS('員工更表輸入'!$C$5:$C$39,'員工更表輸入'!$A$5:$A$39,'設定 Settings'!$A$6,'員工更表輸入'!$B$5:$B$39,E$88),Lists!$C$26&gt;=SUMIFS('員工更表輸入'!$D$5:$D$39,'員工更表輸入'!$A$5:$A$39,'設定 Settings'!$A$6,'員工更表輸入'!$B$5:$B$39,E$88)),"",IF(AND(SUMIFS('員工更表輸入'!$F$5:$F$39,'員工更表輸入'!$A$5:$A$39,'設定 Settings'!$A$6,'員工更表輸入'!$B$5:$B$39,E$88)&gt;0,Lists!$C$26&gt;=SUMIFS('員工更表輸入'!$E$5:$E$39,'員工更表輸入'!$A$5:$A$39,'設定 Settings'!$A$6,'員工更表輸入'!$B$5:$B$39,E$88),Lists!$C$26&lt;SUMIFS('員工更表輸入'!$F$5:$F$39,'員工更表輸入'!$A$5:$A$39,'設定 Settings'!$A$6,'員工更表輸入'!$B$5:$B$39,E$88)),"Break","Work"))</f>
        <v/>
      </c>
      <c r="F113" s="24">
        <f>IF(OR(SUMIFS('員工更表輸入'!$D$5:$D$39,'員工更表輸入'!$A$5:$A$39,'設定 Settings'!$A$6,'員工更表輸入'!$B$5:$B$39,F$88)&lt;=0,Lists!$C$26&lt;SUMIFS('員工更表輸入'!$C$5:$C$39,'員工更表輸入'!$A$5:$A$39,'設定 Settings'!$A$6,'員工更表輸入'!$B$5:$B$39,F$88),Lists!$C$26&gt;=SUMIFS('員工更表輸入'!$D$5:$D$39,'員工更表輸入'!$A$5:$A$39,'設定 Settings'!$A$6,'員工更表輸入'!$B$5:$B$39,F$88)),"",IF(AND(SUMIFS('員工更表輸入'!$F$5:$F$39,'員工更表輸入'!$A$5:$A$39,'設定 Settings'!$A$6,'員工更表輸入'!$B$5:$B$39,F$88)&gt;0,Lists!$C$26&gt;=SUMIFS('員工更表輸入'!$E$5:$E$39,'員工更表輸入'!$A$5:$A$39,'設定 Settings'!$A$6,'員工更表輸入'!$B$5:$B$39,F$88),Lists!$C$26&lt;SUMIFS('員工更表輸入'!$F$5:$F$39,'員工更表輸入'!$A$5:$A$39,'設定 Settings'!$A$6,'員工更表輸入'!$B$5:$B$39,F$88)),"Break","Work"))</f>
        <v/>
      </c>
      <c r="G113" s="24">
        <f>IF(OR(SUMIFS('員工更表輸入'!$D$5:$D$39,'員工更表輸入'!$A$5:$A$39,'設定 Settings'!$A$6,'員工更表輸入'!$B$5:$B$39,G$88)&lt;=0,Lists!$C$26&lt;SUMIFS('員工更表輸入'!$C$5:$C$39,'員工更表輸入'!$A$5:$A$39,'設定 Settings'!$A$6,'員工更表輸入'!$B$5:$B$39,G$88),Lists!$C$26&gt;=SUMIFS('員工更表輸入'!$D$5:$D$39,'員工更表輸入'!$A$5:$A$39,'設定 Settings'!$A$6,'員工更表輸入'!$B$5:$B$39,G$88)),"",IF(AND(SUMIFS('員工更表輸入'!$F$5:$F$39,'員工更表輸入'!$A$5:$A$39,'設定 Settings'!$A$6,'員工更表輸入'!$B$5:$B$39,G$88)&gt;0,Lists!$C$26&gt;=SUMIFS('員工更表輸入'!$E$5:$E$39,'員工更表輸入'!$A$5:$A$39,'設定 Settings'!$A$6,'員工更表輸入'!$B$5:$B$39,G$88),Lists!$C$26&lt;SUMIFS('員工更表輸入'!$F$5:$F$39,'員工更表輸入'!$A$5:$A$39,'設定 Settings'!$A$6,'員工更表輸入'!$B$5:$B$39,G$88)),"Break","Work"))</f>
        <v/>
      </c>
      <c r="H113" s="24">
        <f>IF(OR(SUMIFS('員工更表輸入'!$D$5:$D$39,'員工更表輸入'!$A$5:$A$39,'設定 Settings'!$A$6,'員工更表輸入'!$B$5:$B$39,H$88)&lt;=0,Lists!$C$26&lt;SUMIFS('員工更表輸入'!$C$5:$C$39,'員工更表輸入'!$A$5:$A$39,'設定 Settings'!$A$6,'員工更表輸入'!$B$5:$B$39,H$88),Lists!$C$26&gt;=SUMIFS('員工更表輸入'!$D$5:$D$39,'員工更表輸入'!$A$5:$A$39,'設定 Settings'!$A$6,'員工更表輸入'!$B$5:$B$39,H$88)),"",IF(AND(SUMIFS('員工更表輸入'!$F$5:$F$39,'員工更表輸入'!$A$5:$A$39,'設定 Settings'!$A$6,'員工更表輸入'!$B$5:$B$39,H$88)&gt;0,Lists!$C$26&gt;=SUMIFS('員工更表輸入'!$E$5:$E$39,'員工更表輸入'!$A$5:$A$39,'設定 Settings'!$A$6,'員工更表輸入'!$B$5:$B$39,H$88),Lists!$C$26&lt;SUMIFS('員工更表輸入'!$F$5:$F$39,'員工更表輸入'!$A$5:$A$39,'設定 Settings'!$A$6,'員工更表輸入'!$B$5:$B$39,H$88)),"Break","Work"))</f>
        <v/>
      </c>
    </row>
    <row r="115">
      <c r="A115" s="27">
        <f>"員工更表："&amp;'設定 Settings'!$A$7</f>
        <v/>
      </c>
    </row>
    <row r="116">
      <c r="A116" s="17" t="inlineStr">
        <is>
          <t>時段＼員工</t>
        </is>
      </c>
      <c r="B116" s="17" t="inlineStr">
        <is>
          <t>星期一</t>
        </is>
      </c>
      <c r="C116" s="17" t="inlineStr">
        <is>
          <t>星期二</t>
        </is>
      </c>
      <c r="D116" s="17" t="inlineStr">
        <is>
          <t>星期三</t>
        </is>
      </c>
      <c r="E116" s="17" t="inlineStr">
        <is>
          <t>星期四</t>
        </is>
      </c>
      <c r="F116" s="17" t="inlineStr">
        <is>
          <t>星期五</t>
        </is>
      </c>
      <c r="G116" s="21" t="inlineStr">
        <is>
          <t>星期六</t>
        </is>
      </c>
      <c r="H116" s="21" t="inlineStr">
        <is>
          <t>星期日</t>
        </is>
      </c>
    </row>
    <row r="117">
      <c r="A117" s="22" t="inlineStr">
        <is>
          <t>9:45am-10:15am</t>
        </is>
      </c>
      <c r="B117" s="24">
        <f>IF(OR(SUMIFS('員工更表輸入'!$D$5:$D$39,'員工更表輸入'!$A$5:$A$39,'設定 Settings'!$A$7,'員工更表輸入'!$B$5:$B$39,B$116)&lt;=0,Lists!$C$2&lt;SUMIFS('員工更表輸入'!$C$5:$C$39,'員工更表輸入'!$A$5:$A$39,'設定 Settings'!$A$7,'員工更表輸入'!$B$5:$B$39,B$116),Lists!$C$2&gt;=SUMIFS('員工更表輸入'!$D$5:$D$39,'員工更表輸入'!$A$5:$A$39,'設定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Settings'!$A$7,'員工更表輸入'!$B$5:$B$39,B$116)&gt;0,Lists!$C$2&gt;=SUMIFS('員工更表輸入'!$E$5:$E$39,'員工更表輸入'!$A$5:$A$39,'設定 Settings'!$A$7,'員工更表輸入'!$B$5:$B$39,B$116),Lists!$C$2&lt;SUMIFS('員工更表輸入'!$F$5:$F$39,'員工更表輸入'!$A$5:$A$39,'設定 Settings'!$A$7,'員工更表輸入'!$B$5:$B$39,B$116)),"Break","Work"))</f>
        <v/>
      </c>
      <c r="C117" s="24">
        <f>IF(OR(SUMIFS('員工更表輸入'!$D$5:$D$39,'員工更表輸入'!$A$5:$A$39,'設定 Settings'!$A$7,'員工更表輸入'!$B$5:$B$39,C$116)&lt;=0,Lists!$C$2&lt;SUMIFS('員工更表輸入'!$C$5:$C$39,'員工更表輸入'!$A$5:$A$39,'設定 Settings'!$A$7,'員工更表輸入'!$B$5:$B$39,C$116),Lists!$C$2&gt;=SUMIFS('員工更表輸入'!$D$5:$D$39,'員工更表輸入'!$A$5:$A$39,'設定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Settings'!$A$7,'員工更表輸入'!$B$5:$B$39,C$116)&gt;0,Lists!$C$2&gt;=SUMIFS('員工更表輸入'!$E$5:$E$39,'員工更表輸入'!$A$5:$A$39,'設定 Settings'!$A$7,'員工更表輸入'!$B$5:$B$39,C$116),Lists!$C$2&lt;SUMIFS('員工更表輸入'!$F$5:$F$39,'員工更表輸入'!$A$5:$A$39,'設定 Settings'!$A$7,'員工更表輸入'!$B$5:$B$39,C$116)),"Break","Work"))</f>
        <v/>
      </c>
      <c r="D117" s="24">
        <f>IF(OR(SUMIFS('員工更表輸入'!$D$5:$D$39,'員工更表輸入'!$A$5:$A$39,'設定 Settings'!$A$7,'員工更表輸入'!$B$5:$B$39,D$116)&lt;=0,Lists!$C$2&lt;SUMIFS('員工更表輸入'!$C$5:$C$39,'員工更表輸入'!$A$5:$A$39,'設定 Settings'!$A$7,'員工更表輸入'!$B$5:$B$39,D$116),Lists!$C$2&gt;=SUMIFS('員工更表輸入'!$D$5:$D$39,'員工更表輸入'!$A$5:$A$39,'設定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Settings'!$A$7,'員工更表輸入'!$B$5:$B$39,D$116)&gt;0,Lists!$C$2&gt;=SUMIFS('員工更表輸入'!$E$5:$E$39,'員工更表輸入'!$A$5:$A$39,'設定 Settings'!$A$7,'員工更表輸入'!$B$5:$B$39,D$116),Lists!$C$2&lt;SUMIFS('員工更表輸入'!$F$5:$F$39,'員工更表輸入'!$A$5:$A$39,'設定 Settings'!$A$7,'員工更表輸入'!$B$5:$B$39,D$116)),"Break","Work"))</f>
        <v/>
      </c>
      <c r="E117" s="24">
        <f>IF(OR(SUMIFS('員工更表輸入'!$D$5:$D$39,'員工更表輸入'!$A$5:$A$39,'設定 Settings'!$A$7,'員工更表輸入'!$B$5:$B$39,E$116)&lt;=0,Lists!$C$2&lt;SUMIFS('員工更表輸入'!$C$5:$C$39,'員工更表輸入'!$A$5:$A$39,'設定 Settings'!$A$7,'員工更表輸入'!$B$5:$B$39,E$116),Lists!$C$2&gt;=SUMIFS('員工更表輸入'!$D$5:$D$39,'員工更表輸入'!$A$5:$A$39,'設定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Settings'!$A$7,'員工更表輸入'!$B$5:$B$39,E$116)&gt;0,Lists!$C$2&gt;=SUMIFS('員工更表輸入'!$E$5:$E$39,'員工更表輸入'!$A$5:$A$39,'設定 Settings'!$A$7,'員工更表輸入'!$B$5:$B$39,E$116),Lists!$C$2&lt;SUMIFS('員工更表輸入'!$F$5:$F$39,'員工更表輸入'!$A$5:$A$39,'設定 Settings'!$A$7,'員工更表輸入'!$B$5:$B$39,E$116)),"Break","Work"))</f>
        <v/>
      </c>
      <c r="F117" s="24">
        <f>IF(OR(SUMIFS('員工更表輸入'!$D$5:$D$39,'員工更表輸入'!$A$5:$A$39,'設定 Settings'!$A$7,'員工更表輸入'!$B$5:$B$39,F$116)&lt;=0,Lists!$C$2&lt;SUMIFS('員工更表輸入'!$C$5:$C$39,'員工更表輸入'!$A$5:$A$39,'設定 Settings'!$A$7,'員工更表輸入'!$B$5:$B$39,F$116),Lists!$C$2&gt;=SUMIFS('員工更表輸入'!$D$5:$D$39,'員工更表輸入'!$A$5:$A$39,'設定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Settings'!$A$7,'員工更表輸入'!$B$5:$B$39,F$116)&gt;0,Lists!$C$2&gt;=SUMIFS('員工更表輸入'!$E$5:$E$39,'員工更表輸入'!$A$5:$A$39,'設定 Settings'!$A$7,'員工更表輸入'!$B$5:$B$39,F$116),Lists!$C$2&lt;SUMIFS('員工更表輸入'!$F$5:$F$39,'員工更表輸入'!$A$5:$A$39,'設定 Settings'!$A$7,'員工更表輸入'!$B$5:$B$39,F$116)),"Break","Work"))</f>
        <v/>
      </c>
      <c r="G117" s="24">
        <f>IF(OR(SUMIFS('員工更表輸入'!$D$5:$D$39,'員工更表輸入'!$A$5:$A$39,'設定 Settings'!$A$7,'員工更表輸入'!$B$5:$B$39,G$116)&lt;=0,Lists!$C$2&lt;SUMIFS('員工更表輸入'!$C$5:$C$39,'員工更表輸入'!$A$5:$A$39,'設定 Settings'!$A$7,'員工更表輸入'!$B$5:$B$39,G$116),Lists!$C$2&gt;=SUMIFS('員工更表輸入'!$D$5:$D$39,'員工更表輸入'!$A$5:$A$39,'設定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Settings'!$A$7,'員工更表輸入'!$B$5:$B$39,G$116)&gt;0,Lists!$C$2&gt;=SUMIFS('員工更表輸入'!$E$5:$E$39,'員工更表輸入'!$A$5:$A$39,'設定 Settings'!$A$7,'員工更表輸入'!$B$5:$B$39,G$116),Lists!$C$2&lt;SUMIFS('員工更表輸入'!$F$5:$F$39,'員工更表輸入'!$A$5:$A$39,'設定 Settings'!$A$7,'員工更表輸入'!$B$5:$B$39,G$116)),"Break","Work"))</f>
        <v/>
      </c>
      <c r="H117" s="24">
        <f>IF(OR(SUMIFS('員工更表輸入'!$D$5:$D$39,'員工更表輸入'!$A$5:$A$39,'設定 Settings'!$A$7,'員工更表輸入'!$B$5:$B$39,H$116)&lt;=0,Lists!$C$2&lt;SUMIFS('員工更表輸入'!$C$5:$C$39,'員工更表輸入'!$A$5:$A$39,'設定 Settings'!$A$7,'員工更表輸入'!$B$5:$B$39,H$116),Lists!$C$2&gt;=SUMIFS('員工更表輸入'!$D$5:$D$39,'員工更表輸入'!$A$5:$A$39,'設定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Settings'!$A$7,'員工更表輸入'!$B$5:$B$39,H$116)&gt;0,Lists!$C$2&gt;=SUMIFS('員工更表輸入'!$E$5:$E$39,'員工更表輸入'!$A$5:$A$39,'設定 Settings'!$A$7,'員工更表輸入'!$B$5:$B$39,H$116),Lists!$C$2&lt;SUMIFS('員工更表輸入'!$F$5:$F$39,'員工更表輸入'!$A$5:$A$39,'設定 Settings'!$A$7,'員工更表輸入'!$B$5:$B$39,H$116)),"Break","Work"))</f>
        <v/>
      </c>
    </row>
    <row r="118">
      <c r="A118" s="22" t="inlineStr">
        <is>
          <t>10:15am-10:45am</t>
        </is>
      </c>
      <c r="B118" s="24">
        <f>IF(OR(SUMIFS('員工更表輸入'!$D$5:$D$39,'員工更表輸入'!$A$5:$A$39,'設定 Settings'!$A$7,'員工更表輸入'!$B$5:$B$39,B$116)&lt;=0,Lists!$C$3&lt;SUMIFS('員工更表輸入'!$C$5:$C$39,'員工更表輸入'!$A$5:$A$39,'設定 Settings'!$A$7,'員工更表輸入'!$B$5:$B$39,B$116),Lists!$C$3&gt;=SUMIFS('員工更表輸入'!$D$5:$D$39,'員工更表輸入'!$A$5:$A$39,'設定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Settings'!$A$7,'員工更表輸入'!$B$5:$B$39,B$116)&gt;0,Lists!$C$3&gt;=SUMIFS('員工更表輸入'!$E$5:$E$39,'員工更表輸入'!$A$5:$A$39,'設定 Settings'!$A$7,'員工更表輸入'!$B$5:$B$39,B$116),Lists!$C$3&lt;SUMIFS('員工更表輸入'!$F$5:$F$39,'員工更表輸入'!$A$5:$A$39,'設定 Settings'!$A$7,'員工更表輸入'!$B$5:$B$39,B$116)),"Break","Work"))</f>
        <v/>
      </c>
      <c r="C118" s="24">
        <f>IF(OR(SUMIFS('員工更表輸入'!$D$5:$D$39,'員工更表輸入'!$A$5:$A$39,'設定 Settings'!$A$7,'員工更表輸入'!$B$5:$B$39,C$116)&lt;=0,Lists!$C$3&lt;SUMIFS('員工更表輸入'!$C$5:$C$39,'員工更表輸入'!$A$5:$A$39,'設定 Settings'!$A$7,'員工更表輸入'!$B$5:$B$39,C$116),Lists!$C$3&gt;=SUMIFS('員工更表輸入'!$D$5:$D$39,'員工更表輸入'!$A$5:$A$39,'設定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Settings'!$A$7,'員工更表輸入'!$B$5:$B$39,C$116)&gt;0,Lists!$C$3&gt;=SUMIFS('員工更表輸入'!$E$5:$E$39,'員工更表輸入'!$A$5:$A$39,'設定 Settings'!$A$7,'員工更表輸入'!$B$5:$B$39,C$116),Lists!$C$3&lt;SUMIFS('員工更表輸入'!$F$5:$F$39,'員工更表輸入'!$A$5:$A$39,'設定 Settings'!$A$7,'員工更表輸入'!$B$5:$B$39,C$116)),"Break","Work"))</f>
        <v/>
      </c>
      <c r="D118" s="24">
        <f>IF(OR(SUMIFS('員工更表輸入'!$D$5:$D$39,'員工更表輸入'!$A$5:$A$39,'設定 Settings'!$A$7,'員工更表輸入'!$B$5:$B$39,D$116)&lt;=0,Lists!$C$3&lt;SUMIFS('員工更表輸入'!$C$5:$C$39,'員工更表輸入'!$A$5:$A$39,'設定 Settings'!$A$7,'員工更表輸入'!$B$5:$B$39,D$116),Lists!$C$3&gt;=SUMIFS('員工更表輸入'!$D$5:$D$39,'員工更表輸入'!$A$5:$A$39,'設定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Settings'!$A$7,'員工更表輸入'!$B$5:$B$39,D$116)&gt;0,Lists!$C$3&gt;=SUMIFS('員工更表輸入'!$E$5:$E$39,'員工更表輸入'!$A$5:$A$39,'設定 Settings'!$A$7,'員工更表輸入'!$B$5:$B$39,D$116),Lists!$C$3&lt;SUMIFS('員工更表輸入'!$F$5:$F$39,'員工更表輸入'!$A$5:$A$39,'設定 Settings'!$A$7,'員工更表輸入'!$B$5:$B$39,D$116)),"Break","Work"))</f>
        <v/>
      </c>
      <c r="E118" s="24">
        <f>IF(OR(SUMIFS('員工更表輸入'!$D$5:$D$39,'員工更表輸入'!$A$5:$A$39,'設定 Settings'!$A$7,'員工更表輸入'!$B$5:$B$39,E$116)&lt;=0,Lists!$C$3&lt;SUMIFS('員工更表輸入'!$C$5:$C$39,'員工更表輸入'!$A$5:$A$39,'設定 Settings'!$A$7,'員工更表輸入'!$B$5:$B$39,E$116),Lists!$C$3&gt;=SUMIFS('員工更表輸入'!$D$5:$D$39,'員工更表輸入'!$A$5:$A$39,'設定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Settings'!$A$7,'員工更表輸入'!$B$5:$B$39,E$116)&gt;0,Lists!$C$3&gt;=SUMIFS('員工更表輸入'!$E$5:$E$39,'員工更表輸入'!$A$5:$A$39,'設定 Settings'!$A$7,'員工更表輸入'!$B$5:$B$39,E$116),Lists!$C$3&lt;SUMIFS('員工更表輸入'!$F$5:$F$39,'員工更表輸入'!$A$5:$A$39,'設定 Settings'!$A$7,'員工更表輸入'!$B$5:$B$39,E$116)),"Break","Work"))</f>
        <v/>
      </c>
      <c r="F118" s="24">
        <f>IF(OR(SUMIFS('員工更表輸入'!$D$5:$D$39,'員工更表輸入'!$A$5:$A$39,'設定 Settings'!$A$7,'員工更表輸入'!$B$5:$B$39,F$116)&lt;=0,Lists!$C$3&lt;SUMIFS('員工更表輸入'!$C$5:$C$39,'員工更表輸入'!$A$5:$A$39,'設定 Settings'!$A$7,'員工更表輸入'!$B$5:$B$39,F$116),Lists!$C$3&gt;=SUMIFS('員工更表輸入'!$D$5:$D$39,'員工更表輸入'!$A$5:$A$39,'設定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Settings'!$A$7,'員工更表輸入'!$B$5:$B$39,F$116)&gt;0,Lists!$C$3&gt;=SUMIFS('員工更表輸入'!$E$5:$E$39,'員工更表輸入'!$A$5:$A$39,'設定 Settings'!$A$7,'員工更表輸入'!$B$5:$B$39,F$116),Lists!$C$3&lt;SUMIFS('員工更表輸入'!$F$5:$F$39,'員工更表輸入'!$A$5:$A$39,'設定 Settings'!$A$7,'員工更表輸入'!$B$5:$B$39,F$116)),"Break","Work"))</f>
        <v/>
      </c>
      <c r="G118" s="24">
        <f>IF(OR(SUMIFS('員工更表輸入'!$D$5:$D$39,'員工更表輸入'!$A$5:$A$39,'設定 Settings'!$A$7,'員工更表輸入'!$B$5:$B$39,G$116)&lt;=0,Lists!$C$3&lt;SUMIFS('員工更表輸入'!$C$5:$C$39,'員工更表輸入'!$A$5:$A$39,'設定 Settings'!$A$7,'員工更表輸入'!$B$5:$B$39,G$116),Lists!$C$3&gt;=SUMIFS('員工更表輸入'!$D$5:$D$39,'員工更表輸入'!$A$5:$A$39,'設定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Settings'!$A$7,'員工更表輸入'!$B$5:$B$39,G$116)&gt;0,Lists!$C$3&gt;=SUMIFS('員工更表輸入'!$E$5:$E$39,'員工更表輸入'!$A$5:$A$39,'設定 Settings'!$A$7,'員工更表輸入'!$B$5:$B$39,G$116),Lists!$C$3&lt;SUMIFS('員工更表輸入'!$F$5:$F$39,'員工更表輸入'!$A$5:$A$39,'設定 Settings'!$A$7,'員工更表輸入'!$B$5:$B$39,G$116)),"Break","Work"))</f>
        <v/>
      </c>
      <c r="H118" s="24">
        <f>IF(OR(SUMIFS('員工更表輸入'!$D$5:$D$39,'員工更表輸入'!$A$5:$A$39,'設定 Settings'!$A$7,'員工更表輸入'!$B$5:$B$39,H$116)&lt;=0,Lists!$C$3&lt;SUMIFS('員工更表輸入'!$C$5:$C$39,'員工更表輸入'!$A$5:$A$39,'設定 Settings'!$A$7,'員工更表輸入'!$B$5:$B$39,H$116),Lists!$C$3&gt;=SUMIFS('員工更表輸入'!$D$5:$D$39,'員工更表輸入'!$A$5:$A$39,'設定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Settings'!$A$7,'員工更表輸入'!$B$5:$B$39,H$116)&gt;0,Lists!$C$3&gt;=SUMIFS('員工更表輸入'!$E$5:$E$39,'員工更表輸入'!$A$5:$A$39,'設定 Settings'!$A$7,'員工更表輸入'!$B$5:$B$39,H$116),Lists!$C$3&lt;SUMIFS('員工更表輸入'!$F$5:$F$39,'員工更表輸入'!$A$5:$A$39,'設定 Settings'!$A$7,'員工更表輸入'!$B$5:$B$39,H$116)),"Break","Work"))</f>
        <v/>
      </c>
    </row>
    <row r="119">
      <c r="A119" s="22" t="inlineStr">
        <is>
          <t>10:45am-11:15am</t>
        </is>
      </c>
      <c r="B119" s="24">
        <f>IF(OR(SUMIFS('員工更表輸入'!$D$5:$D$39,'員工更表輸入'!$A$5:$A$39,'設定 Settings'!$A$7,'員工更表輸入'!$B$5:$B$39,B$116)&lt;=0,Lists!$C$4&lt;SUMIFS('員工更表輸入'!$C$5:$C$39,'員工更表輸入'!$A$5:$A$39,'設定 Settings'!$A$7,'員工更表輸入'!$B$5:$B$39,B$116),Lists!$C$4&gt;=SUMIFS('員工更表輸入'!$D$5:$D$39,'員工更表輸入'!$A$5:$A$39,'設定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Settings'!$A$7,'員工更表輸入'!$B$5:$B$39,B$116)&gt;0,Lists!$C$4&gt;=SUMIFS('員工更表輸入'!$E$5:$E$39,'員工更表輸入'!$A$5:$A$39,'設定 Settings'!$A$7,'員工更表輸入'!$B$5:$B$39,B$116),Lists!$C$4&lt;SUMIFS('員工更表輸入'!$F$5:$F$39,'員工更表輸入'!$A$5:$A$39,'設定 Settings'!$A$7,'員工更表輸入'!$B$5:$B$39,B$116)),"Break","Work"))</f>
        <v/>
      </c>
      <c r="C119" s="24">
        <f>IF(OR(SUMIFS('員工更表輸入'!$D$5:$D$39,'員工更表輸入'!$A$5:$A$39,'設定 Settings'!$A$7,'員工更表輸入'!$B$5:$B$39,C$116)&lt;=0,Lists!$C$4&lt;SUMIFS('員工更表輸入'!$C$5:$C$39,'員工更表輸入'!$A$5:$A$39,'設定 Settings'!$A$7,'員工更表輸入'!$B$5:$B$39,C$116),Lists!$C$4&gt;=SUMIFS('員工更表輸入'!$D$5:$D$39,'員工更表輸入'!$A$5:$A$39,'設定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Settings'!$A$7,'員工更表輸入'!$B$5:$B$39,C$116)&gt;0,Lists!$C$4&gt;=SUMIFS('員工更表輸入'!$E$5:$E$39,'員工更表輸入'!$A$5:$A$39,'設定 Settings'!$A$7,'員工更表輸入'!$B$5:$B$39,C$116),Lists!$C$4&lt;SUMIFS('員工更表輸入'!$F$5:$F$39,'員工更表輸入'!$A$5:$A$39,'設定 Settings'!$A$7,'員工更表輸入'!$B$5:$B$39,C$116)),"Break","Work"))</f>
        <v/>
      </c>
      <c r="D119" s="24">
        <f>IF(OR(SUMIFS('員工更表輸入'!$D$5:$D$39,'員工更表輸入'!$A$5:$A$39,'設定 Settings'!$A$7,'員工更表輸入'!$B$5:$B$39,D$116)&lt;=0,Lists!$C$4&lt;SUMIFS('員工更表輸入'!$C$5:$C$39,'員工更表輸入'!$A$5:$A$39,'設定 Settings'!$A$7,'員工更表輸入'!$B$5:$B$39,D$116),Lists!$C$4&gt;=SUMIFS('員工更表輸入'!$D$5:$D$39,'員工更表輸入'!$A$5:$A$39,'設定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Settings'!$A$7,'員工更表輸入'!$B$5:$B$39,D$116)&gt;0,Lists!$C$4&gt;=SUMIFS('員工更表輸入'!$E$5:$E$39,'員工更表輸入'!$A$5:$A$39,'設定 Settings'!$A$7,'員工更表輸入'!$B$5:$B$39,D$116),Lists!$C$4&lt;SUMIFS('員工更表輸入'!$F$5:$F$39,'員工更表輸入'!$A$5:$A$39,'設定 Settings'!$A$7,'員工更表輸入'!$B$5:$B$39,D$116)),"Break","Work"))</f>
        <v/>
      </c>
      <c r="E119" s="24">
        <f>IF(OR(SUMIFS('員工更表輸入'!$D$5:$D$39,'員工更表輸入'!$A$5:$A$39,'設定 Settings'!$A$7,'員工更表輸入'!$B$5:$B$39,E$116)&lt;=0,Lists!$C$4&lt;SUMIFS('員工更表輸入'!$C$5:$C$39,'員工更表輸入'!$A$5:$A$39,'設定 Settings'!$A$7,'員工更表輸入'!$B$5:$B$39,E$116),Lists!$C$4&gt;=SUMIFS('員工更表輸入'!$D$5:$D$39,'員工更表輸入'!$A$5:$A$39,'設定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Settings'!$A$7,'員工更表輸入'!$B$5:$B$39,E$116)&gt;0,Lists!$C$4&gt;=SUMIFS('員工更表輸入'!$E$5:$E$39,'員工更表輸入'!$A$5:$A$39,'設定 Settings'!$A$7,'員工更表輸入'!$B$5:$B$39,E$116),Lists!$C$4&lt;SUMIFS('員工更表輸入'!$F$5:$F$39,'員工更表輸入'!$A$5:$A$39,'設定 Settings'!$A$7,'員工更表輸入'!$B$5:$B$39,E$116)),"Break","Work"))</f>
        <v/>
      </c>
      <c r="F119" s="24">
        <f>IF(OR(SUMIFS('員工更表輸入'!$D$5:$D$39,'員工更表輸入'!$A$5:$A$39,'設定 Settings'!$A$7,'員工更表輸入'!$B$5:$B$39,F$116)&lt;=0,Lists!$C$4&lt;SUMIFS('員工更表輸入'!$C$5:$C$39,'員工更表輸入'!$A$5:$A$39,'設定 Settings'!$A$7,'員工更表輸入'!$B$5:$B$39,F$116),Lists!$C$4&gt;=SUMIFS('員工更表輸入'!$D$5:$D$39,'員工更表輸入'!$A$5:$A$39,'設定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Settings'!$A$7,'員工更表輸入'!$B$5:$B$39,F$116)&gt;0,Lists!$C$4&gt;=SUMIFS('員工更表輸入'!$E$5:$E$39,'員工更表輸入'!$A$5:$A$39,'設定 Settings'!$A$7,'員工更表輸入'!$B$5:$B$39,F$116),Lists!$C$4&lt;SUMIFS('員工更表輸入'!$F$5:$F$39,'員工更表輸入'!$A$5:$A$39,'設定 Settings'!$A$7,'員工更表輸入'!$B$5:$B$39,F$116)),"Break","Work"))</f>
        <v/>
      </c>
      <c r="G119" s="24">
        <f>IF(OR(SUMIFS('員工更表輸入'!$D$5:$D$39,'員工更表輸入'!$A$5:$A$39,'設定 Settings'!$A$7,'員工更表輸入'!$B$5:$B$39,G$116)&lt;=0,Lists!$C$4&lt;SUMIFS('員工更表輸入'!$C$5:$C$39,'員工更表輸入'!$A$5:$A$39,'設定 Settings'!$A$7,'員工更表輸入'!$B$5:$B$39,G$116),Lists!$C$4&gt;=SUMIFS('員工更表輸入'!$D$5:$D$39,'員工更表輸入'!$A$5:$A$39,'設定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Settings'!$A$7,'員工更表輸入'!$B$5:$B$39,G$116)&gt;0,Lists!$C$4&gt;=SUMIFS('員工更表輸入'!$E$5:$E$39,'員工更表輸入'!$A$5:$A$39,'設定 Settings'!$A$7,'員工更表輸入'!$B$5:$B$39,G$116),Lists!$C$4&lt;SUMIFS('員工更表輸入'!$F$5:$F$39,'員工更表輸入'!$A$5:$A$39,'設定 Settings'!$A$7,'員工更表輸入'!$B$5:$B$39,G$116)),"Break","Work"))</f>
        <v/>
      </c>
      <c r="H119" s="24">
        <f>IF(OR(SUMIFS('員工更表輸入'!$D$5:$D$39,'員工更表輸入'!$A$5:$A$39,'設定 Settings'!$A$7,'員工更表輸入'!$B$5:$B$39,H$116)&lt;=0,Lists!$C$4&lt;SUMIFS('員工更表輸入'!$C$5:$C$39,'員工更表輸入'!$A$5:$A$39,'設定 Settings'!$A$7,'員工更表輸入'!$B$5:$B$39,H$116),Lists!$C$4&gt;=SUMIFS('員工更表輸入'!$D$5:$D$39,'員工更表輸入'!$A$5:$A$39,'設定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Settings'!$A$7,'員工更表輸入'!$B$5:$B$39,H$116)&gt;0,Lists!$C$4&gt;=SUMIFS('員工更表輸入'!$E$5:$E$39,'員工更表輸入'!$A$5:$A$39,'設定 Settings'!$A$7,'員工更表輸入'!$B$5:$B$39,H$116),Lists!$C$4&lt;SUMIFS('員工更表輸入'!$F$5:$F$39,'員工更表輸入'!$A$5:$A$39,'設定 Settings'!$A$7,'員工更表輸入'!$B$5:$B$39,H$116)),"Break","Work"))</f>
        <v/>
      </c>
    </row>
    <row r="120">
      <c r="A120" s="22" t="inlineStr">
        <is>
          <t>11:15am-11:45am</t>
        </is>
      </c>
      <c r="B120" s="24">
        <f>IF(OR(SUMIFS('員工更表輸入'!$D$5:$D$39,'員工更表輸入'!$A$5:$A$39,'設定 Settings'!$A$7,'員工更表輸入'!$B$5:$B$39,B$116)&lt;=0,Lists!$C$5&lt;SUMIFS('員工更表輸入'!$C$5:$C$39,'員工更表輸入'!$A$5:$A$39,'設定 Settings'!$A$7,'員工更表輸入'!$B$5:$B$39,B$116),Lists!$C$5&gt;=SUMIFS('員工更表輸入'!$D$5:$D$39,'員工更表輸入'!$A$5:$A$39,'設定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Settings'!$A$7,'員工更表輸入'!$B$5:$B$39,B$116)&gt;0,Lists!$C$5&gt;=SUMIFS('員工更表輸入'!$E$5:$E$39,'員工更表輸入'!$A$5:$A$39,'設定 Settings'!$A$7,'員工更表輸入'!$B$5:$B$39,B$116),Lists!$C$5&lt;SUMIFS('員工更表輸入'!$F$5:$F$39,'員工更表輸入'!$A$5:$A$39,'設定 Settings'!$A$7,'員工更表輸入'!$B$5:$B$39,B$116)),"Break","Work"))</f>
        <v/>
      </c>
      <c r="C120" s="24">
        <f>IF(OR(SUMIFS('員工更表輸入'!$D$5:$D$39,'員工更表輸入'!$A$5:$A$39,'設定 Settings'!$A$7,'員工更表輸入'!$B$5:$B$39,C$116)&lt;=0,Lists!$C$5&lt;SUMIFS('員工更表輸入'!$C$5:$C$39,'員工更表輸入'!$A$5:$A$39,'設定 Settings'!$A$7,'員工更表輸入'!$B$5:$B$39,C$116),Lists!$C$5&gt;=SUMIFS('員工更表輸入'!$D$5:$D$39,'員工更表輸入'!$A$5:$A$39,'設定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Settings'!$A$7,'員工更表輸入'!$B$5:$B$39,C$116)&gt;0,Lists!$C$5&gt;=SUMIFS('員工更表輸入'!$E$5:$E$39,'員工更表輸入'!$A$5:$A$39,'設定 Settings'!$A$7,'員工更表輸入'!$B$5:$B$39,C$116),Lists!$C$5&lt;SUMIFS('員工更表輸入'!$F$5:$F$39,'員工更表輸入'!$A$5:$A$39,'設定 Settings'!$A$7,'員工更表輸入'!$B$5:$B$39,C$116)),"Break","Work"))</f>
        <v/>
      </c>
      <c r="D120" s="24">
        <f>IF(OR(SUMIFS('員工更表輸入'!$D$5:$D$39,'員工更表輸入'!$A$5:$A$39,'設定 Settings'!$A$7,'員工更表輸入'!$B$5:$B$39,D$116)&lt;=0,Lists!$C$5&lt;SUMIFS('員工更表輸入'!$C$5:$C$39,'員工更表輸入'!$A$5:$A$39,'設定 Settings'!$A$7,'員工更表輸入'!$B$5:$B$39,D$116),Lists!$C$5&gt;=SUMIFS('員工更表輸入'!$D$5:$D$39,'員工更表輸入'!$A$5:$A$39,'設定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Settings'!$A$7,'員工更表輸入'!$B$5:$B$39,D$116)&gt;0,Lists!$C$5&gt;=SUMIFS('員工更表輸入'!$E$5:$E$39,'員工更表輸入'!$A$5:$A$39,'設定 Settings'!$A$7,'員工更表輸入'!$B$5:$B$39,D$116),Lists!$C$5&lt;SUMIFS('員工更表輸入'!$F$5:$F$39,'員工更表輸入'!$A$5:$A$39,'設定 Settings'!$A$7,'員工更表輸入'!$B$5:$B$39,D$116)),"Break","Work"))</f>
        <v/>
      </c>
      <c r="E120" s="24">
        <f>IF(OR(SUMIFS('員工更表輸入'!$D$5:$D$39,'員工更表輸入'!$A$5:$A$39,'設定 Settings'!$A$7,'員工更表輸入'!$B$5:$B$39,E$116)&lt;=0,Lists!$C$5&lt;SUMIFS('員工更表輸入'!$C$5:$C$39,'員工更表輸入'!$A$5:$A$39,'設定 Settings'!$A$7,'員工更表輸入'!$B$5:$B$39,E$116),Lists!$C$5&gt;=SUMIFS('員工更表輸入'!$D$5:$D$39,'員工更表輸入'!$A$5:$A$39,'設定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Settings'!$A$7,'員工更表輸入'!$B$5:$B$39,E$116)&gt;0,Lists!$C$5&gt;=SUMIFS('員工更表輸入'!$E$5:$E$39,'員工更表輸入'!$A$5:$A$39,'設定 Settings'!$A$7,'員工更表輸入'!$B$5:$B$39,E$116),Lists!$C$5&lt;SUMIFS('員工更表輸入'!$F$5:$F$39,'員工更表輸入'!$A$5:$A$39,'設定 Settings'!$A$7,'員工更表輸入'!$B$5:$B$39,E$116)),"Break","Work"))</f>
        <v/>
      </c>
      <c r="F120" s="24">
        <f>IF(OR(SUMIFS('員工更表輸入'!$D$5:$D$39,'員工更表輸入'!$A$5:$A$39,'設定 Settings'!$A$7,'員工更表輸入'!$B$5:$B$39,F$116)&lt;=0,Lists!$C$5&lt;SUMIFS('員工更表輸入'!$C$5:$C$39,'員工更表輸入'!$A$5:$A$39,'設定 Settings'!$A$7,'員工更表輸入'!$B$5:$B$39,F$116),Lists!$C$5&gt;=SUMIFS('員工更表輸入'!$D$5:$D$39,'員工更表輸入'!$A$5:$A$39,'設定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Settings'!$A$7,'員工更表輸入'!$B$5:$B$39,F$116)&gt;0,Lists!$C$5&gt;=SUMIFS('員工更表輸入'!$E$5:$E$39,'員工更表輸入'!$A$5:$A$39,'設定 Settings'!$A$7,'員工更表輸入'!$B$5:$B$39,F$116),Lists!$C$5&lt;SUMIFS('員工更表輸入'!$F$5:$F$39,'員工更表輸入'!$A$5:$A$39,'設定 Settings'!$A$7,'員工更表輸入'!$B$5:$B$39,F$116)),"Break","Work"))</f>
        <v/>
      </c>
      <c r="G120" s="24">
        <f>IF(OR(SUMIFS('員工更表輸入'!$D$5:$D$39,'員工更表輸入'!$A$5:$A$39,'設定 Settings'!$A$7,'員工更表輸入'!$B$5:$B$39,G$116)&lt;=0,Lists!$C$5&lt;SUMIFS('員工更表輸入'!$C$5:$C$39,'員工更表輸入'!$A$5:$A$39,'設定 Settings'!$A$7,'員工更表輸入'!$B$5:$B$39,G$116),Lists!$C$5&gt;=SUMIFS('員工更表輸入'!$D$5:$D$39,'員工更表輸入'!$A$5:$A$39,'設定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Settings'!$A$7,'員工更表輸入'!$B$5:$B$39,G$116)&gt;0,Lists!$C$5&gt;=SUMIFS('員工更表輸入'!$E$5:$E$39,'員工更表輸入'!$A$5:$A$39,'設定 Settings'!$A$7,'員工更表輸入'!$B$5:$B$39,G$116),Lists!$C$5&lt;SUMIFS('員工更表輸入'!$F$5:$F$39,'員工更表輸入'!$A$5:$A$39,'設定 Settings'!$A$7,'員工更表輸入'!$B$5:$B$39,G$116)),"Break","Work"))</f>
        <v/>
      </c>
      <c r="H120" s="24">
        <f>IF(OR(SUMIFS('員工更表輸入'!$D$5:$D$39,'員工更表輸入'!$A$5:$A$39,'設定 Settings'!$A$7,'員工更表輸入'!$B$5:$B$39,H$116)&lt;=0,Lists!$C$5&lt;SUMIFS('員工更表輸入'!$C$5:$C$39,'員工更表輸入'!$A$5:$A$39,'設定 Settings'!$A$7,'員工更表輸入'!$B$5:$B$39,H$116),Lists!$C$5&gt;=SUMIFS('員工更表輸入'!$D$5:$D$39,'員工更表輸入'!$A$5:$A$39,'設定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Settings'!$A$7,'員工更表輸入'!$B$5:$B$39,H$116)&gt;0,Lists!$C$5&gt;=SUMIFS('員工更表輸入'!$E$5:$E$39,'員工更表輸入'!$A$5:$A$39,'設定 Settings'!$A$7,'員工更表輸入'!$B$5:$B$39,H$116),Lists!$C$5&lt;SUMIFS('員工更表輸入'!$F$5:$F$39,'員工更表輸入'!$A$5:$A$39,'設定 Settings'!$A$7,'員工更表輸入'!$B$5:$B$39,H$116)),"Break","Work"))</f>
        <v/>
      </c>
    </row>
    <row r="121">
      <c r="A121" s="22" t="inlineStr">
        <is>
          <t>11:45am-12:15pm</t>
        </is>
      </c>
      <c r="B121" s="24">
        <f>IF(OR(SUMIFS('員工更表輸入'!$D$5:$D$39,'員工更表輸入'!$A$5:$A$39,'設定 Settings'!$A$7,'員工更表輸入'!$B$5:$B$39,B$116)&lt;=0,Lists!$C$6&lt;SUMIFS('員工更表輸入'!$C$5:$C$39,'員工更表輸入'!$A$5:$A$39,'設定 Settings'!$A$7,'員工更表輸入'!$B$5:$B$39,B$116),Lists!$C$6&gt;=SUMIFS('員工更表輸入'!$D$5:$D$39,'員工更表輸入'!$A$5:$A$39,'設定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Settings'!$A$7,'員工更表輸入'!$B$5:$B$39,B$116)&gt;0,Lists!$C$6&gt;=SUMIFS('員工更表輸入'!$E$5:$E$39,'員工更表輸入'!$A$5:$A$39,'設定 Settings'!$A$7,'員工更表輸入'!$B$5:$B$39,B$116),Lists!$C$6&lt;SUMIFS('員工更表輸入'!$F$5:$F$39,'員工更表輸入'!$A$5:$A$39,'設定 Settings'!$A$7,'員工更表輸入'!$B$5:$B$39,B$116)),"Break","Work"))</f>
        <v/>
      </c>
      <c r="C121" s="24">
        <f>IF(OR(SUMIFS('員工更表輸入'!$D$5:$D$39,'員工更表輸入'!$A$5:$A$39,'設定 Settings'!$A$7,'員工更表輸入'!$B$5:$B$39,C$116)&lt;=0,Lists!$C$6&lt;SUMIFS('員工更表輸入'!$C$5:$C$39,'員工更表輸入'!$A$5:$A$39,'設定 Settings'!$A$7,'員工更表輸入'!$B$5:$B$39,C$116),Lists!$C$6&gt;=SUMIFS('員工更表輸入'!$D$5:$D$39,'員工更表輸入'!$A$5:$A$39,'設定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Settings'!$A$7,'員工更表輸入'!$B$5:$B$39,C$116)&gt;0,Lists!$C$6&gt;=SUMIFS('員工更表輸入'!$E$5:$E$39,'員工更表輸入'!$A$5:$A$39,'設定 Settings'!$A$7,'員工更表輸入'!$B$5:$B$39,C$116),Lists!$C$6&lt;SUMIFS('員工更表輸入'!$F$5:$F$39,'員工更表輸入'!$A$5:$A$39,'設定 Settings'!$A$7,'員工更表輸入'!$B$5:$B$39,C$116)),"Break","Work"))</f>
        <v/>
      </c>
      <c r="D121" s="24">
        <f>IF(OR(SUMIFS('員工更表輸入'!$D$5:$D$39,'員工更表輸入'!$A$5:$A$39,'設定 Settings'!$A$7,'員工更表輸入'!$B$5:$B$39,D$116)&lt;=0,Lists!$C$6&lt;SUMIFS('員工更表輸入'!$C$5:$C$39,'員工更表輸入'!$A$5:$A$39,'設定 Settings'!$A$7,'員工更表輸入'!$B$5:$B$39,D$116),Lists!$C$6&gt;=SUMIFS('員工更表輸入'!$D$5:$D$39,'員工更表輸入'!$A$5:$A$39,'設定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Settings'!$A$7,'員工更表輸入'!$B$5:$B$39,D$116)&gt;0,Lists!$C$6&gt;=SUMIFS('員工更表輸入'!$E$5:$E$39,'員工更表輸入'!$A$5:$A$39,'設定 Settings'!$A$7,'員工更表輸入'!$B$5:$B$39,D$116),Lists!$C$6&lt;SUMIFS('員工更表輸入'!$F$5:$F$39,'員工更表輸入'!$A$5:$A$39,'設定 Settings'!$A$7,'員工更表輸入'!$B$5:$B$39,D$116)),"Break","Work"))</f>
        <v/>
      </c>
      <c r="E121" s="24">
        <f>IF(OR(SUMIFS('員工更表輸入'!$D$5:$D$39,'員工更表輸入'!$A$5:$A$39,'設定 Settings'!$A$7,'員工更表輸入'!$B$5:$B$39,E$116)&lt;=0,Lists!$C$6&lt;SUMIFS('員工更表輸入'!$C$5:$C$39,'員工更表輸入'!$A$5:$A$39,'設定 Settings'!$A$7,'員工更表輸入'!$B$5:$B$39,E$116),Lists!$C$6&gt;=SUMIFS('員工更表輸入'!$D$5:$D$39,'員工更表輸入'!$A$5:$A$39,'設定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Settings'!$A$7,'員工更表輸入'!$B$5:$B$39,E$116)&gt;0,Lists!$C$6&gt;=SUMIFS('員工更表輸入'!$E$5:$E$39,'員工更表輸入'!$A$5:$A$39,'設定 Settings'!$A$7,'員工更表輸入'!$B$5:$B$39,E$116),Lists!$C$6&lt;SUMIFS('員工更表輸入'!$F$5:$F$39,'員工更表輸入'!$A$5:$A$39,'設定 Settings'!$A$7,'員工更表輸入'!$B$5:$B$39,E$116)),"Break","Work"))</f>
        <v/>
      </c>
      <c r="F121" s="24">
        <f>IF(OR(SUMIFS('員工更表輸入'!$D$5:$D$39,'員工更表輸入'!$A$5:$A$39,'設定 Settings'!$A$7,'員工更表輸入'!$B$5:$B$39,F$116)&lt;=0,Lists!$C$6&lt;SUMIFS('員工更表輸入'!$C$5:$C$39,'員工更表輸入'!$A$5:$A$39,'設定 Settings'!$A$7,'員工更表輸入'!$B$5:$B$39,F$116),Lists!$C$6&gt;=SUMIFS('員工更表輸入'!$D$5:$D$39,'員工更表輸入'!$A$5:$A$39,'設定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Settings'!$A$7,'員工更表輸入'!$B$5:$B$39,F$116)&gt;0,Lists!$C$6&gt;=SUMIFS('員工更表輸入'!$E$5:$E$39,'員工更表輸入'!$A$5:$A$39,'設定 Settings'!$A$7,'員工更表輸入'!$B$5:$B$39,F$116),Lists!$C$6&lt;SUMIFS('員工更表輸入'!$F$5:$F$39,'員工更表輸入'!$A$5:$A$39,'設定 Settings'!$A$7,'員工更表輸入'!$B$5:$B$39,F$116)),"Break","Work"))</f>
        <v/>
      </c>
      <c r="G121" s="24">
        <f>IF(OR(SUMIFS('員工更表輸入'!$D$5:$D$39,'員工更表輸入'!$A$5:$A$39,'設定 Settings'!$A$7,'員工更表輸入'!$B$5:$B$39,G$116)&lt;=0,Lists!$C$6&lt;SUMIFS('員工更表輸入'!$C$5:$C$39,'員工更表輸入'!$A$5:$A$39,'設定 Settings'!$A$7,'員工更表輸入'!$B$5:$B$39,G$116),Lists!$C$6&gt;=SUMIFS('員工更表輸入'!$D$5:$D$39,'員工更表輸入'!$A$5:$A$39,'設定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Settings'!$A$7,'員工更表輸入'!$B$5:$B$39,G$116)&gt;0,Lists!$C$6&gt;=SUMIFS('員工更表輸入'!$E$5:$E$39,'員工更表輸入'!$A$5:$A$39,'設定 Settings'!$A$7,'員工更表輸入'!$B$5:$B$39,G$116),Lists!$C$6&lt;SUMIFS('員工更表輸入'!$F$5:$F$39,'員工更表輸入'!$A$5:$A$39,'設定 Settings'!$A$7,'員工更表輸入'!$B$5:$B$39,G$116)),"Break","Work"))</f>
        <v/>
      </c>
      <c r="H121" s="24">
        <f>IF(OR(SUMIFS('員工更表輸入'!$D$5:$D$39,'員工更表輸入'!$A$5:$A$39,'設定 Settings'!$A$7,'員工更表輸入'!$B$5:$B$39,H$116)&lt;=0,Lists!$C$6&lt;SUMIFS('員工更表輸入'!$C$5:$C$39,'員工更表輸入'!$A$5:$A$39,'設定 Settings'!$A$7,'員工更表輸入'!$B$5:$B$39,H$116),Lists!$C$6&gt;=SUMIFS('員工更表輸入'!$D$5:$D$39,'員工更表輸入'!$A$5:$A$39,'設定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Settings'!$A$7,'員工更表輸入'!$B$5:$B$39,H$116)&gt;0,Lists!$C$6&gt;=SUMIFS('員工更表輸入'!$E$5:$E$39,'員工更表輸入'!$A$5:$A$39,'設定 Settings'!$A$7,'員工更表輸入'!$B$5:$B$39,H$116),Lists!$C$6&lt;SUMIFS('員工更表輸入'!$F$5:$F$39,'員工更表輸入'!$A$5:$A$39,'設定 Settings'!$A$7,'員工更表輸入'!$B$5:$B$39,H$116)),"Break","Work"))</f>
        <v/>
      </c>
    </row>
    <row r="122">
      <c r="A122" s="22" t="inlineStr">
        <is>
          <t>12:15pm-12:45pm</t>
        </is>
      </c>
      <c r="B122" s="24">
        <f>IF(OR(SUMIFS('員工更表輸入'!$D$5:$D$39,'員工更表輸入'!$A$5:$A$39,'設定 Settings'!$A$7,'員工更表輸入'!$B$5:$B$39,B$116)&lt;=0,Lists!$C$7&lt;SUMIFS('員工更表輸入'!$C$5:$C$39,'員工更表輸入'!$A$5:$A$39,'設定 Settings'!$A$7,'員工更表輸入'!$B$5:$B$39,B$116),Lists!$C$7&gt;=SUMIFS('員工更表輸入'!$D$5:$D$39,'員工更表輸入'!$A$5:$A$39,'設定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Settings'!$A$7,'員工更表輸入'!$B$5:$B$39,B$116)&gt;0,Lists!$C$7&gt;=SUMIFS('員工更表輸入'!$E$5:$E$39,'員工更表輸入'!$A$5:$A$39,'設定 Settings'!$A$7,'員工更表輸入'!$B$5:$B$39,B$116),Lists!$C$7&lt;SUMIFS('員工更表輸入'!$F$5:$F$39,'員工更表輸入'!$A$5:$A$39,'設定 Settings'!$A$7,'員工更表輸入'!$B$5:$B$39,B$116)),"Break","Work"))</f>
        <v/>
      </c>
      <c r="C122" s="24">
        <f>IF(OR(SUMIFS('員工更表輸入'!$D$5:$D$39,'員工更表輸入'!$A$5:$A$39,'設定 Settings'!$A$7,'員工更表輸入'!$B$5:$B$39,C$116)&lt;=0,Lists!$C$7&lt;SUMIFS('員工更表輸入'!$C$5:$C$39,'員工更表輸入'!$A$5:$A$39,'設定 Settings'!$A$7,'員工更表輸入'!$B$5:$B$39,C$116),Lists!$C$7&gt;=SUMIFS('員工更表輸入'!$D$5:$D$39,'員工更表輸入'!$A$5:$A$39,'設定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Settings'!$A$7,'員工更表輸入'!$B$5:$B$39,C$116)&gt;0,Lists!$C$7&gt;=SUMIFS('員工更表輸入'!$E$5:$E$39,'員工更表輸入'!$A$5:$A$39,'設定 Settings'!$A$7,'員工更表輸入'!$B$5:$B$39,C$116),Lists!$C$7&lt;SUMIFS('員工更表輸入'!$F$5:$F$39,'員工更表輸入'!$A$5:$A$39,'設定 Settings'!$A$7,'員工更表輸入'!$B$5:$B$39,C$116)),"Break","Work"))</f>
        <v/>
      </c>
      <c r="D122" s="24">
        <f>IF(OR(SUMIFS('員工更表輸入'!$D$5:$D$39,'員工更表輸入'!$A$5:$A$39,'設定 Settings'!$A$7,'員工更表輸入'!$B$5:$B$39,D$116)&lt;=0,Lists!$C$7&lt;SUMIFS('員工更表輸入'!$C$5:$C$39,'員工更表輸入'!$A$5:$A$39,'設定 Settings'!$A$7,'員工更表輸入'!$B$5:$B$39,D$116),Lists!$C$7&gt;=SUMIFS('員工更表輸入'!$D$5:$D$39,'員工更表輸入'!$A$5:$A$39,'設定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Settings'!$A$7,'員工更表輸入'!$B$5:$B$39,D$116)&gt;0,Lists!$C$7&gt;=SUMIFS('員工更表輸入'!$E$5:$E$39,'員工更表輸入'!$A$5:$A$39,'設定 Settings'!$A$7,'員工更表輸入'!$B$5:$B$39,D$116),Lists!$C$7&lt;SUMIFS('員工更表輸入'!$F$5:$F$39,'員工更表輸入'!$A$5:$A$39,'設定 Settings'!$A$7,'員工更表輸入'!$B$5:$B$39,D$116)),"Break","Work"))</f>
        <v/>
      </c>
      <c r="E122" s="24">
        <f>IF(OR(SUMIFS('員工更表輸入'!$D$5:$D$39,'員工更表輸入'!$A$5:$A$39,'設定 Settings'!$A$7,'員工更表輸入'!$B$5:$B$39,E$116)&lt;=0,Lists!$C$7&lt;SUMIFS('員工更表輸入'!$C$5:$C$39,'員工更表輸入'!$A$5:$A$39,'設定 Settings'!$A$7,'員工更表輸入'!$B$5:$B$39,E$116),Lists!$C$7&gt;=SUMIFS('員工更表輸入'!$D$5:$D$39,'員工更表輸入'!$A$5:$A$39,'設定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Settings'!$A$7,'員工更表輸入'!$B$5:$B$39,E$116)&gt;0,Lists!$C$7&gt;=SUMIFS('員工更表輸入'!$E$5:$E$39,'員工更表輸入'!$A$5:$A$39,'設定 Settings'!$A$7,'員工更表輸入'!$B$5:$B$39,E$116),Lists!$C$7&lt;SUMIFS('員工更表輸入'!$F$5:$F$39,'員工更表輸入'!$A$5:$A$39,'設定 Settings'!$A$7,'員工更表輸入'!$B$5:$B$39,E$116)),"Break","Work"))</f>
        <v/>
      </c>
      <c r="F122" s="24">
        <f>IF(OR(SUMIFS('員工更表輸入'!$D$5:$D$39,'員工更表輸入'!$A$5:$A$39,'設定 Settings'!$A$7,'員工更表輸入'!$B$5:$B$39,F$116)&lt;=0,Lists!$C$7&lt;SUMIFS('員工更表輸入'!$C$5:$C$39,'員工更表輸入'!$A$5:$A$39,'設定 Settings'!$A$7,'員工更表輸入'!$B$5:$B$39,F$116),Lists!$C$7&gt;=SUMIFS('員工更表輸入'!$D$5:$D$39,'員工更表輸入'!$A$5:$A$39,'設定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Settings'!$A$7,'員工更表輸入'!$B$5:$B$39,F$116)&gt;0,Lists!$C$7&gt;=SUMIFS('員工更表輸入'!$E$5:$E$39,'員工更表輸入'!$A$5:$A$39,'設定 Settings'!$A$7,'員工更表輸入'!$B$5:$B$39,F$116),Lists!$C$7&lt;SUMIFS('員工更表輸入'!$F$5:$F$39,'員工更表輸入'!$A$5:$A$39,'設定 Settings'!$A$7,'員工更表輸入'!$B$5:$B$39,F$116)),"Break","Work"))</f>
        <v/>
      </c>
      <c r="G122" s="24">
        <f>IF(OR(SUMIFS('員工更表輸入'!$D$5:$D$39,'員工更表輸入'!$A$5:$A$39,'設定 Settings'!$A$7,'員工更表輸入'!$B$5:$B$39,G$116)&lt;=0,Lists!$C$7&lt;SUMIFS('員工更表輸入'!$C$5:$C$39,'員工更表輸入'!$A$5:$A$39,'設定 Settings'!$A$7,'員工更表輸入'!$B$5:$B$39,G$116),Lists!$C$7&gt;=SUMIFS('員工更表輸入'!$D$5:$D$39,'員工更表輸入'!$A$5:$A$39,'設定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Settings'!$A$7,'員工更表輸入'!$B$5:$B$39,G$116)&gt;0,Lists!$C$7&gt;=SUMIFS('員工更表輸入'!$E$5:$E$39,'員工更表輸入'!$A$5:$A$39,'設定 Settings'!$A$7,'員工更表輸入'!$B$5:$B$39,G$116),Lists!$C$7&lt;SUMIFS('員工更表輸入'!$F$5:$F$39,'員工更表輸入'!$A$5:$A$39,'設定 Settings'!$A$7,'員工更表輸入'!$B$5:$B$39,G$116)),"Break","Work"))</f>
        <v/>
      </c>
      <c r="H122" s="24">
        <f>IF(OR(SUMIFS('員工更表輸入'!$D$5:$D$39,'員工更表輸入'!$A$5:$A$39,'設定 Settings'!$A$7,'員工更表輸入'!$B$5:$B$39,H$116)&lt;=0,Lists!$C$7&lt;SUMIFS('員工更表輸入'!$C$5:$C$39,'員工更表輸入'!$A$5:$A$39,'設定 Settings'!$A$7,'員工更表輸入'!$B$5:$B$39,H$116),Lists!$C$7&gt;=SUMIFS('員工更表輸入'!$D$5:$D$39,'員工更表輸入'!$A$5:$A$39,'設定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Settings'!$A$7,'員工更表輸入'!$B$5:$B$39,H$116)&gt;0,Lists!$C$7&gt;=SUMIFS('員工更表輸入'!$E$5:$E$39,'員工更表輸入'!$A$5:$A$39,'設定 Settings'!$A$7,'員工更表輸入'!$B$5:$B$39,H$116),Lists!$C$7&lt;SUMIFS('員工更表輸入'!$F$5:$F$39,'員工更表輸入'!$A$5:$A$39,'設定 Settings'!$A$7,'員工更表輸入'!$B$5:$B$39,H$116)),"Break","Work"))</f>
        <v/>
      </c>
    </row>
    <row r="123">
      <c r="A123" s="22" t="inlineStr">
        <is>
          <t>12:45pm-1:15pm</t>
        </is>
      </c>
      <c r="B123" s="24">
        <f>IF(OR(SUMIFS('員工更表輸入'!$D$5:$D$39,'員工更表輸入'!$A$5:$A$39,'設定 Settings'!$A$7,'員工更表輸入'!$B$5:$B$39,B$116)&lt;=0,Lists!$C$8&lt;SUMIFS('員工更表輸入'!$C$5:$C$39,'員工更表輸入'!$A$5:$A$39,'設定 Settings'!$A$7,'員工更表輸入'!$B$5:$B$39,B$116),Lists!$C$8&gt;=SUMIFS('員工更表輸入'!$D$5:$D$39,'員工更表輸入'!$A$5:$A$39,'設定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Settings'!$A$7,'員工更表輸入'!$B$5:$B$39,B$116)&gt;0,Lists!$C$8&gt;=SUMIFS('員工更表輸入'!$E$5:$E$39,'員工更表輸入'!$A$5:$A$39,'設定 Settings'!$A$7,'員工更表輸入'!$B$5:$B$39,B$116),Lists!$C$8&lt;SUMIFS('員工更表輸入'!$F$5:$F$39,'員工更表輸入'!$A$5:$A$39,'設定 Settings'!$A$7,'員工更表輸入'!$B$5:$B$39,B$116)),"Break","Work"))</f>
        <v/>
      </c>
      <c r="C123" s="24">
        <f>IF(OR(SUMIFS('員工更表輸入'!$D$5:$D$39,'員工更表輸入'!$A$5:$A$39,'設定 Settings'!$A$7,'員工更表輸入'!$B$5:$B$39,C$116)&lt;=0,Lists!$C$8&lt;SUMIFS('員工更表輸入'!$C$5:$C$39,'員工更表輸入'!$A$5:$A$39,'設定 Settings'!$A$7,'員工更表輸入'!$B$5:$B$39,C$116),Lists!$C$8&gt;=SUMIFS('員工更表輸入'!$D$5:$D$39,'員工更表輸入'!$A$5:$A$39,'設定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Settings'!$A$7,'員工更表輸入'!$B$5:$B$39,C$116)&gt;0,Lists!$C$8&gt;=SUMIFS('員工更表輸入'!$E$5:$E$39,'員工更表輸入'!$A$5:$A$39,'設定 Settings'!$A$7,'員工更表輸入'!$B$5:$B$39,C$116),Lists!$C$8&lt;SUMIFS('員工更表輸入'!$F$5:$F$39,'員工更表輸入'!$A$5:$A$39,'設定 Settings'!$A$7,'員工更表輸入'!$B$5:$B$39,C$116)),"Break","Work"))</f>
        <v/>
      </c>
      <c r="D123" s="24">
        <f>IF(OR(SUMIFS('員工更表輸入'!$D$5:$D$39,'員工更表輸入'!$A$5:$A$39,'設定 Settings'!$A$7,'員工更表輸入'!$B$5:$B$39,D$116)&lt;=0,Lists!$C$8&lt;SUMIFS('員工更表輸入'!$C$5:$C$39,'員工更表輸入'!$A$5:$A$39,'設定 Settings'!$A$7,'員工更表輸入'!$B$5:$B$39,D$116),Lists!$C$8&gt;=SUMIFS('員工更表輸入'!$D$5:$D$39,'員工更表輸入'!$A$5:$A$39,'設定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Settings'!$A$7,'員工更表輸入'!$B$5:$B$39,D$116)&gt;0,Lists!$C$8&gt;=SUMIFS('員工更表輸入'!$E$5:$E$39,'員工更表輸入'!$A$5:$A$39,'設定 Settings'!$A$7,'員工更表輸入'!$B$5:$B$39,D$116),Lists!$C$8&lt;SUMIFS('員工更表輸入'!$F$5:$F$39,'員工更表輸入'!$A$5:$A$39,'設定 Settings'!$A$7,'員工更表輸入'!$B$5:$B$39,D$116)),"Break","Work"))</f>
        <v/>
      </c>
      <c r="E123" s="24">
        <f>IF(OR(SUMIFS('員工更表輸入'!$D$5:$D$39,'員工更表輸入'!$A$5:$A$39,'設定 Settings'!$A$7,'員工更表輸入'!$B$5:$B$39,E$116)&lt;=0,Lists!$C$8&lt;SUMIFS('員工更表輸入'!$C$5:$C$39,'員工更表輸入'!$A$5:$A$39,'設定 Settings'!$A$7,'員工更表輸入'!$B$5:$B$39,E$116),Lists!$C$8&gt;=SUMIFS('員工更表輸入'!$D$5:$D$39,'員工更表輸入'!$A$5:$A$39,'設定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Settings'!$A$7,'員工更表輸入'!$B$5:$B$39,E$116)&gt;0,Lists!$C$8&gt;=SUMIFS('員工更表輸入'!$E$5:$E$39,'員工更表輸入'!$A$5:$A$39,'設定 Settings'!$A$7,'員工更表輸入'!$B$5:$B$39,E$116),Lists!$C$8&lt;SUMIFS('員工更表輸入'!$F$5:$F$39,'員工更表輸入'!$A$5:$A$39,'設定 Settings'!$A$7,'員工更表輸入'!$B$5:$B$39,E$116)),"Break","Work"))</f>
        <v/>
      </c>
      <c r="F123" s="24">
        <f>IF(OR(SUMIFS('員工更表輸入'!$D$5:$D$39,'員工更表輸入'!$A$5:$A$39,'設定 Settings'!$A$7,'員工更表輸入'!$B$5:$B$39,F$116)&lt;=0,Lists!$C$8&lt;SUMIFS('員工更表輸入'!$C$5:$C$39,'員工更表輸入'!$A$5:$A$39,'設定 Settings'!$A$7,'員工更表輸入'!$B$5:$B$39,F$116),Lists!$C$8&gt;=SUMIFS('員工更表輸入'!$D$5:$D$39,'員工更表輸入'!$A$5:$A$39,'設定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Settings'!$A$7,'員工更表輸入'!$B$5:$B$39,F$116)&gt;0,Lists!$C$8&gt;=SUMIFS('員工更表輸入'!$E$5:$E$39,'員工更表輸入'!$A$5:$A$39,'設定 Settings'!$A$7,'員工更表輸入'!$B$5:$B$39,F$116),Lists!$C$8&lt;SUMIFS('員工更表輸入'!$F$5:$F$39,'員工更表輸入'!$A$5:$A$39,'設定 Settings'!$A$7,'員工更表輸入'!$B$5:$B$39,F$116)),"Break","Work"))</f>
        <v/>
      </c>
      <c r="G123" s="24">
        <f>IF(OR(SUMIFS('員工更表輸入'!$D$5:$D$39,'員工更表輸入'!$A$5:$A$39,'設定 Settings'!$A$7,'員工更表輸入'!$B$5:$B$39,G$116)&lt;=0,Lists!$C$8&lt;SUMIFS('員工更表輸入'!$C$5:$C$39,'員工更表輸入'!$A$5:$A$39,'設定 Settings'!$A$7,'員工更表輸入'!$B$5:$B$39,G$116),Lists!$C$8&gt;=SUMIFS('員工更表輸入'!$D$5:$D$39,'員工更表輸入'!$A$5:$A$39,'設定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Settings'!$A$7,'員工更表輸入'!$B$5:$B$39,G$116)&gt;0,Lists!$C$8&gt;=SUMIFS('員工更表輸入'!$E$5:$E$39,'員工更表輸入'!$A$5:$A$39,'設定 Settings'!$A$7,'員工更表輸入'!$B$5:$B$39,G$116),Lists!$C$8&lt;SUMIFS('員工更表輸入'!$F$5:$F$39,'員工更表輸入'!$A$5:$A$39,'設定 Settings'!$A$7,'員工更表輸入'!$B$5:$B$39,G$116)),"Break","Work"))</f>
        <v/>
      </c>
      <c r="H123" s="24">
        <f>IF(OR(SUMIFS('員工更表輸入'!$D$5:$D$39,'員工更表輸入'!$A$5:$A$39,'設定 Settings'!$A$7,'員工更表輸入'!$B$5:$B$39,H$116)&lt;=0,Lists!$C$8&lt;SUMIFS('員工更表輸入'!$C$5:$C$39,'員工更表輸入'!$A$5:$A$39,'設定 Settings'!$A$7,'員工更表輸入'!$B$5:$B$39,H$116),Lists!$C$8&gt;=SUMIFS('員工更表輸入'!$D$5:$D$39,'員工更表輸入'!$A$5:$A$39,'設定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Settings'!$A$7,'員工更表輸入'!$B$5:$B$39,H$116)&gt;0,Lists!$C$8&gt;=SUMIFS('員工更表輸入'!$E$5:$E$39,'員工更表輸入'!$A$5:$A$39,'設定 Settings'!$A$7,'員工更表輸入'!$B$5:$B$39,H$116),Lists!$C$8&lt;SUMIFS('員工更表輸入'!$F$5:$F$39,'員工更表輸入'!$A$5:$A$39,'設定 Settings'!$A$7,'員工更表輸入'!$B$5:$B$39,H$116)),"Break","Work"))</f>
        <v/>
      </c>
    </row>
    <row r="124">
      <c r="A124" s="22" t="inlineStr">
        <is>
          <t>1:15pm-1:45pm</t>
        </is>
      </c>
      <c r="B124" s="24">
        <f>IF(OR(SUMIFS('員工更表輸入'!$D$5:$D$39,'員工更表輸入'!$A$5:$A$39,'設定 Settings'!$A$7,'員工更表輸入'!$B$5:$B$39,B$116)&lt;=0,Lists!$C$9&lt;SUMIFS('員工更表輸入'!$C$5:$C$39,'員工更表輸入'!$A$5:$A$39,'設定 Settings'!$A$7,'員工更表輸入'!$B$5:$B$39,B$116),Lists!$C$9&gt;=SUMIFS('員工更表輸入'!$D$5:$D$39,'員工更表輸入'!$A$5:$A$39,'設定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Settings'!$A$7,'員工更表輸入'!$B$5:$B$39,B$116)&gt;0,Lists!$C$9&gt;=SUMIFS('員工更表輸入'!$E$5:$E$39,'員工更表輸入'!$A$5:$A$39,'設定 Settings'!$A$7,'員工更表輸入'!$B$5:$B$39,B$116),Lists!$C$9&lt;SUMIFS('員工更表輸入'!$F$5:$F$39,'員工更表輸入'!$A$5:$A$39,'設定 Settings'!$A$7,'員工更表輸入'!$B$5:$B$39,B$116)),"Break","Work"))</f>
        <v/>
      </c>
      <c r="C124" s="24">
        <f>IF(OR(SUMIFS('員工更表輸入'!$D$5:$D$39,'員工更表輸入'!$A$5:$A$39,'設定 Settings'!$A$7,'員工更表輸入'!$B$5:$B$39,C$116)&lt;=0,Lists!$C$9&lt;SUMIFS('員工更表輸入'!$C$5:$C$39,'員工更表輸入'!$A$5:$A$39,'設定 Settings'!$A$7,'員工更表輸入'!$B$5:$B$39,C$116),Lists!$C$9&gt;=SUMIFS('員工更表輸入'!$D$5:$D$39,'員工更表輸入'!$A$5:$A$39,'設定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Settings'!$A$7,'員工更表輸入'!$B$5:$B$39,C$116)&gt;0,Lists!$C$9&gt;=SUMIFS('員工更表輸入'!$E$5:$E$39,'員工更表輸入'!$A$5:$A$39,'設定 Settings'!$A$7,'員工更表輸入'!$B$5:$B$39,C$116),Lists!$C$9&lt;SUMIFS('員工更表輸入'!$F$5:$F$39,'員工更表輸入'!$A$5:$A$39,'設定 Settings'!$A$7,'員工更表輸入'!$B$5:$B$39,C$116)),"Break","Work"))</f>
        <v/>
      </c>
      <c r="D124" s="24">
        <f>IF(OR(SUMIFS('員工更表輸入'!$D$5:$D$39,'員工更表輸入'!$A$5:$A$39,'設定 Settings'!$A$7,'員工更表輸入'!$B$5:$B$39,D$116)&lt;=0,Lists!$C$9&lt;SUMIFS('員工更表輸入'!$C$5:$C$39,'員工更表輸入'!$A$5:$A$39,'設定 Settings'!$A$7,'員工更表輸入'!$B$5:$B$39,D$116),Lists!$C$9&gt;=SUMIFS('員工更表輸入'!$D$5:$D$39,'員工更表輸入'!$A$5:$A$39,'設定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Settings'!$A$7,'員工更表輸入'!$B$5:$B$39,D$116)&gt;0,Lists!$C$9&gt;=SUMIFS('員工更表輸入'!$E$5:$E$39,'員工更表輸入'!$A$5:$A$39,'設定 Settings'!$A$7,'員工更表輸入'!$B$5:$B$39,D$116),Lists!$C$9&lt;SUMIFS('員工更表輸入'!$F$5:$F$39,'員工更表輸入'!$A$5:$A$39,'設定 Settings'!$A$7,'員工更表輸入'!$B$5:$B$39,D$116)),"Break","Work"))</f>
        <v/>
      </c>
      <c r="E124" s="24">
        <f>IF(OR(SUMIFS('員工更表輸入'!$D$5:$D$39,'員工更表輸入'!$A$5:$A$39,'設定 Settings'!$A$7,'員工更表輸入'!$B$5:$B$39,E$116)&lt;=0,Lists!$C$9&lt;SUMIFS('員工更表輸入'!$C$5:$C$39,'員工更表輸入'!$A$5:$A$39,'設定 Settings'!$A$7,'員工更表輸入'!$B$5:$B$39,E$116),Lists!$C$9&gt;=SUMIFS('員工更表輸入'!$D$5:$D$39,'員工更表輸入'!$A$5:$A$39,'設定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Settings'!$A$7,'員工更表輸入'!$B$5:$B$39,E$116)&gt;0,Lists!$C$9&gt;=SUMIFS('員工更表輸入'!$E$5:$E$39,'員工更表輸入'!$A$5:$A$39,'設定 Settings'!$A$7,'員工更表輸入'!$B$5:$B$39,E$116),Lists!$C$9&lt;SUMIFS('員工更表輸入'!$F$5:$F$39,'員工更表輸入'!$A$5:$A$39,'設定 Settings'!$A$7,'員工更表輸入'!$B$5:$B$39,E$116)),"Break","Work"))</f>
        <v/>
      </c>
      <c r="F124" s="24">
        <f>IF(OR(SUMIFS('員工更表輸入'!$D$5:$D$39,'員工更表輸入'!$A$5:$A$39,'設定 Settings'!$A$7,'員工更表輸入'!$B$5:$B$39,F$116)&lt;=0,Lists!$C$9&lt;SUMIFS('員工更表輸入'!$C$5:$C$39,'員工更表輸入'!$A$5:$A$39,'設定 Settings'!$A$7,'員工更表輸入'!$B$5:$B$39,F$116),Lists!$C$9&gt;=SUMIFS('員工更表輸入'!$D$5:$D$39,'員工更表輸入'!$A$5:$A$39,'設定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Settings'!$A$7,'員工更表輸入'!$B$5:$B$39,F$116)&gt;0,Lists!$C$9&gt;=SUMIFS('員工更表輸入'!$E$5:$E$39,'員工更表輸入'!$A$5:$A$39,'設定 Settings'!$A$7,'員工更表輸入'!$B$5:$B$39,F$116),Lists!$C$9&lt;SUMIFS('員工更表輸入'!$F$5:$F$39,'員工更表輸入'!$A$5:$A$39,'設定 Settings'!$A$7,'員工更表輸入'!$B$5:$B$39,F$116)),"Break","Work"))</f>
        <v/>
      </c>
      <c r="G124" s="24">
        <f>IF(OR(SUMIFS('員工更表輸入'!$D$5:$D$39,'員工更表輸入'!$A$5:$A$39,'設定 Settings'!$A$7,'員工更表輸入'!$B$5:$B$39,G$116)&lt;=0,Lists!$C$9&lt;SUMIFS('員工更表輸入'!$C$5:$C$39,'員工更表輸入'!$A$5:$A$39,'設定 Settings'!$A$7,'員工更表輸入'!$B$5:$B$39,G$116),Lists!$C$9&gt;=SUMIFS('員工更表輸入'!$D$5:$D$39,'員工更表輸入'!$A$5:$A$39,'設定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Settings'!$A$7,'員工更表輸入'!$B$5:$B$39,G$116)&gt;0,Lists!$C$9&gt;=SUMIFS('員工更表輸入'!$E$5:$E$39,'員工更表輸入'!$A$5:$A$39,'設定 Settings'!$A$7,'員工更表輸入'!$B$5:$B$39,G$116),Lists!$C$9&lt;SUMIFS('員工更表輸入'!$F$5:$F$39,'員工更表輸入'!$A$5:$A$39,'設定 Settings'!$A$7,'員工更表輸入'!$B$5:$B$39,G$116)),"Break","Work"))</f>
        <v/>
      </c>
      <c r="H124" s="24">
        <f>IF(OR(SUMIFS('員工更表輸入'!$D$5:$D$39,'員工更表輸入'!$A$5:$A$39,'設定 Settings'!$A$7,'員工更表輸入'!$B$5:$B$39,H$116)&lt;=0,Lists!$C$9&lt;SUMIFS('員工更表輸入'!$C$5:$C$39,'員工更表輸入'!$A$5:$A$39,'設定 Settings'!$A$7,'員工更表輸入'!$B$5:$B$39,H$116),Lists!$C$9&gt;=SUMIFS('員工更表輸入'!$D$5:$D$39,'員工更表輸入'!$A$5:$A$39,'設定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Settings'!$A$7,'員工更表輸入'!$B$5:$B$39,H$116)&gt;0,Lists!$C$9&gt;=SUMIFS('員工更表輸入'!$E$5:$E$39,'員工更表輸入'!$A$5:$A$39,'設定 Settings'!$A$7,'員工更表輸入'!$B$5:$B$39,H$116),Lists!$C$9&lt;SUMIFS('員工更表輸入'!$F$5:$F$39,'員工更表輸入'!$A$5:$A$39,'設定 Settings'!$A$7,'員工更表輸入'!$B$5:$B$39,H$116)),"Break","Work"))</f>
        <v/>
      </c>
    </row>
    <row r="125">
      <c r="A125" s="22" t="inlineStr">
        <is>
          <t>1:45pm-2:15pm</t>
        </is>
      </c>
      <c r="B125" s="24">
        <f>IF(OR(SUMIFS('員工更表輸入'!$D$5:$D$39,'員工更表輸入'!$A$5:$A$39,'設定 Settings'!$A$7,'員工更表輸入'!$B$5:$B$39,B$116)&lt;=0,Lists!$C$10&lt;SUMIFS('員工更表輸入'!$C$5:$C$39,'員工更表輸入'!$A$5:$A$39,'設定 Settings'!$A$7,'員工更表輸入'!$B$5:$B$39,B$116),Lists!$C$10&gt;=SUMIFS('員工更表輸入'!$D$5:$D$39,'員工更表輸入'!$A$5:$A$39,'設定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Settings'!$A$7,'員工更表輸入'!$B$5:$B$39,B$116)&gt;0,Lists!$C$10&gt;=SUMIFS('員工更表輸入'!$E$5:$E$39,'員工更表輸入'!$A$5:$A$39,'設定 Settings'!$A$7,'員工更表輸入'!$B$5:$B$39,B$116),Lists!$C$10&lt;SUMIFS('員工更表輸入'!$F$5:$F$39,'員工更表輸入'!$A$5:$A$39,'設定 Settings'!$A$7,'員工更表輸入'!$B$5:$B$39,B$116)),"Break","Work"))</f>
        <v/>
      </c>
      <c r="C125" s="24">
        <f>IF(OR(SUMIFS('員工更表輸入'!$D$5:$D$39,'員工更表輸入'!$A$5:$A$39,'設定 Settings'!$A$7,'員工更表輸入'!$B$5:$B$39,C$116)&lt;=0,Lists!$C$10&lt;SUMIFS('員工更表輸入'!$C$5:$C$39,'員工更表輸入'!$A$5:$A$39,'設定 Settings'!$A$7,'員工更表輸入'!$B$5:$B$39,C$116),Lists!$C$10&gt;=SUMIFS('員工更表輸入'!$D$5:$D$39,'員工更表輸入'!$A$5:$A$39,'設定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Settings'!$A$7,'員工更表輸入'!$B$5:$B$39,C$116)&gt;0,Lists!$C$10&gt;=SUMIFS('員工更表輸入'!$E$5:$E$39,'員工更表輸入'!$A$5:$A$39,'設定 Settings'!$A$7,'員工更表輸入'!$B$5:$B$39,C$116),Lists!$C$10&lt;SUMIFS('員工更表輸入'!$F$5:$F$39,'員工更表輸入'!$A$5:$A$39,'設定 Settings'!$A$7,'員工更表輸入'!$B$5:$B$39,C$116)),"Break","Work"))</f>
        <v/>
      </c>
      <c r="D125" s="24">
        <f>IF(OR(SUMIFS('員工更表輸入'!$D$5:$D$39,'員工更表輸入'!$A$5:$A$39,'設定 Settings'!$A$7,'員工更表輸入'!$B$5:$B$39,D$116)&lt;=0,Lists!$C$10&lt;SUMIFS('員工更表輸入'!$C$5:$C$39,'員工更表輸入'!$A$5:$A$39,'設定 Settings'!$A$7,'員工更表輸入'!$B$5:$B$39,D$116),Lists!$C$10&gt;=SUMIFS('員工更表輸入'!$D$5:$D$39,'員工更表輸入'!$A$5:$A$39,'設定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Settings'!$A$7,'員工更表輸入'!$B$5:$B$39,D$116)&gt;0,Lists!$C$10&gt;=SUMIFS('員工更表輸入'!$E$5:$E$39,'員工更表輸入'!$A$5:$A$39,'設定 Settings'!$A$7,'員工更表輸入'!$B$5:$B$39,D$116),Lists!$C$10&lt;SUMIFS('員工更表輸入'!$F$5:$F$39,'員工更表輸入'!$A$5:$A$39,'設定 Settings'!$A$7,'員工更表輸入'!$B$5:$B$39,D$116)),"Break","Work"))</f>
        <v/>
      </c>
      <c r="E125" s="24">
        <f>IF(OR(SUMIFS('員工更表輸入'!$D$5:$D$39,'員工更表輸入'!$A$5:$A$39,'設定 Settings'!$A$7,'員工更表輸入'!$B$5:$B$39,E$116)&lt;=0,Lists!$C$10&lt;SUMIFS('員工更表輸入'!$C$5:$C$39,'員工更表輸入'!$A$5:$A$39,'設定 Settings'!$A$7,'員工更表輸入'!$B$5:$B$39,E$116),Lists!$C$10&gt;=SUMIFS('員工更表輸入'!$D$5:$D$39,'員工更表輸入'!$A$5:$A$39,'設定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Settings'!$A$7,'員工更表輸入'!$B$5:$B$39,E$116)&gt;0,Lists!$C$10&gt;=SUMIFS('員工更表輸入'!$E$5:$E$39,'員工更表輸入'!$A$5:$A$39,'設定 Settings'!$A$7,'員工更表輸入'!$B$5:$B$39,E$116),Lists!$C$10&lt;SUMIFS('員工更表輸入'!$F$5:$F$39,'員工更表輸入'!$A$5:$A$39,'設定 Settings'!$A$7,'員工更表輸入'!$B$5:$B$39,E$116)),"Break","Work"))</f>
        <v/>
      </c>
      <c r="F125" s="24">
        <f>IF(OR(SUMIFS('員工更表輸入'!$D$5:$D$39,'員工更表輸入'!$A$5:$A$39,'設定 Settings'!$A$7,'員工更表輸入'!$B$5:$B$39,F$116)&lt;=0,Lists!$C$10&lt;SUMIFS('員工更表輸入'!$C$5:$C$39,'員工更表輸入'!$A$5:$A$39,'設定 Settings'!$A$7,'員工更表輸入'!$B$5:$B$39,F$116),Lists!$C$10&gt;=SUMIFS('員工更表輸入'!$D$5:$D$39,'員工更表輸入'!$A$5:$A$39,'設定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Settings'!$A$7,'員工更表輸入'!$B$5:$B$39,F$116)&gt;0,Lists!$C$10&gt;=SUMIFS('員工更表輸入'!$E$5:$E$39,'員工更表輸入'!$A$5:$A$39,'設定 Settings'!$A$7,'員工更表輸入'!$B$5:$B$39,F$116),Lists!$C$10&lt;SUMIFS('員工更表輸入'!$F$5:$F$39,'員工更表輸入'!$A$5:$A$39,'設定 Settings'!$A$7,'員工更表輸入'!$B$5:$B$39,F$116)),"Break","Work"))</f>
        <v/>
      </c>
      <c r="G125" s="24">
        <f>IF(OR(SUMIFS('員工更表輸入'!$D$5:$D$39,'員工更表輸入'!$A$5:$A$39,'設定 Settings'!$A$7,'員工更表輸入'!$B$5:$B$39,G$116)&lt;=0,Lists!$C$10&lt;SUMIFS('員工更表輸入'!$C$5:$C$39,'員工更表輸入'!$A$5:$A$39,'設定 Settings'!$A$7,'員工更表輸入'!$B$5:$B$39,G$116),Lists!$C$10&gt;=SUMIFS('員工更表輸入'!$D$5:$D$39,'員工更表輸入'!$A$5:$A$39,'設定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Settings'!$A$7,'員工更表輸入'!$B$5:$B$39,G$116)&gt;0,Lists!$C$10&gt;=SUMIFS('員工更表輸入'!$E$5:$E$39,'員工更表輸入'!$A$5:$A$39,'設定 Settings'!$A$7,'員工更表輸入'!$B$5:$B$39,G$116),Lists!$C$10&lt;SUMIFS('員工更表輸入'!$F$5:$F$39,'員工更表輸入'!$A$5:$A$39,'設定 Settings'!$A$7,'員工更表輸入'!$B$5:$B$39,G$116)),"Break","Work"))</f>
        <v/>
      </c>
      <c r="H125" s="24">
        <f>IF(OR(SUMIFS('員工更表輸入'!$D$5:$D$39,'員工更表輸入'!$A$5:$A$39,'設定 Settings'!$A$7,'員工更表輸入'!$B$5:$B$39,H$116)&lt;=0,Lists!$C$10&lt;SUMIFS('員工更表輸入'!$C$5:$C$39,'員工更表輸入'!$A$5:$A$39,'設定 Settings'!$A$7,'員工更表輸入'!$B$5:$B$39,H$116),Lists!$C$10&gt;=SUMIFS('員工更表輸入'!$D$5:$D$39,'員工更表輸入'!$A$5:$A$39,'設定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Settings'!$A$7,'員工更表輸入'!$B$5:$B$39,H$116)&gt;0,Lists!$C$10&gt;=SUMIFS('員工更表輸入'!$E$5:$E$39,'員工更表輸入'!$A$5:$A$39,'設定 Settings'!$A$7,'員工更表輸入'!$B$5:$B$39,H$116),Lists!$C$10&lt;SUMIFS('員工更表輸入'!$F$5:$F$39,'員工更表輸入'!$A$5:$A$39,'設定 Settings'!$A$7,'員工更表輸入'!$B$5:$B$39,H$116)),"Break","Work"))</f>
        <v/>
      </c>
    </row>
    <row r="126">
      <c r="A126" s="22" t="inlineStr">
        <is>
          <t>2:15pm-2:45pm</t>
        </is>
      </c>
      <c r="B126" s="24">
        <f>IF(OR(SUMIFS('員工更表輸入'!$D$5:$D$39,'員工更表輸入'!$A$5:$A$39,'設定 Settings'!$A$7,'員工更表輸入'!$B$5:$B$39,B$116)&lt;=0,Lists!$C$11&lt;SUMIFS('員工更表輸入'!$C$5:$C$39,'員工更表輸入'!$A$5:$A$39,'設定 Settings'!$A$7,'員工更表輸入'!$B$5:$B$39,B$116),Lists!$C$11&gt;=SUMIFS('員工更表輸入'!$D$5:$D$39,'員工更表輸入'!$A$5:$A$39,'設定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Settings'!$A$7,'員工更表輸入'!$B$5:$B$39,B$116)&gt;0,Lists!$C$11&gt;=SUMIFS('員工更表輸入'!$E$5:$E$39,'員工更表輸入'!$A$5:$A$39,'設定 Settings'!$A$7,'員工更表輸入'!$B$5:$B$39,B$116),Lists!$C$11&lt;SUMIFS('員工更表輸入'!$F$5:$F$39,'員工更表輸入'!$A$5:$A$39,'設定 Settings'!$A$7,'員工更表輸入'!$B$5:$B$39,B$116)),"Break","Work"))</f>
        <v/>
      </c>
      <c r="C126" s="24">
        <f>IF(OR(SUMIFS('員工更表輸入'!$D$5:$D$39,'員工更表輸入'!$A$5:$A$39,'設定 Settings'!$A$7,'員工更表輸入'!$B$5:$B$39,C$116)&lt;=0,Lists!$C$11&lt;SUMIFS('員工更表輸入'!$C$5:$C$39,'員工更表輸入'!$A$5:$A$39,'設定 Settings'!$A$7,'員工更表輸入'!$B$5:$B$39,C$116),Lists!$C$11&gt;=SUMIFS('員工更表輸入'!$D$5:$D$39,'員工更表輸入'!$A$5:$A$39,'設定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Settings'!$A$7,'員工更表輸入'!$B$5:$B$39,C$116)&gt;0,Lists!$C$11&gt;=SUMIFS('員工更表輸入'!$E$5:$E$39,'員工更表輸入'!$A$5:$A$39,'設定 Settings'!$A$7,'員工更表輸入'!$B$5:$B$39,C$116),Lists!$C$11&lt;SUMIFS('員工更表輸入'!$F$5:$F$39,'員工更表輸入'!$A$5:$A$39,'設定 Settings'!$A$7,'員工更表輸入'!$B$5:$B$39,C$116)),"Break","Work"))</f>
        <v/>
      </c>
      <c r="D126" s="24">
        <f>IF(OR(SUMIFS('員工更表輸入'!$D$5:$D$39,'員工更表輸入'!$A$5:$A$39,'設定 Settings'!$A$7,'員工更表輸入'!$B$5:$B$39,D$116)&lt;=0,Lists!$C$11&lt;SUMIFS('員工更表輸入'!$C$5:$C$39,'員工更表輸入'!$A$5:$A$39,'設定 Settings'!$A$7,'員工更表輸入'!$B$5:$B$39,D$116),Lists!$C$11&gt;=SUMIFS('員工更表輸入'!$D$5:$D$39,'員工更表輸入'!$A$5:$A$39,'設定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Settings'!$A$7,'員工更表輸入'!$B$5:$B$39,D$116)&gt;0,Lists!$C$11&gt;=SUMIFS('員工更表輸入'!$E$5:$E$39,'員工更表輸入'!$A$5:$A$39,'設定 Settings'!$A$7,'員工更表輸入'!$B$5:$B$39,D$116),Lists!$C$11&lt;SUMIFS('員工更表輸入'!$F$5:$F$39,'員工更表輸入'!$A$5:$A$39,'設定 Settings'!$A$7,'員工更表輸入'!$B$5:$B$39,D$116)),"Break","Work"))</f>
        <v/>
      </c>
      <c r="E126" s="24">
        <f>IF(OR(SUMIFS('員工更表輸入'!$D$5:$D$39,'員工更表輸入'!$A$5:$A$39,'設定 Settings'!$A$7,'員工更表輸入'!$B$5:$B$39,E$116)&lt;=0,Lists!$C$11&lt;SUMIFS('員工更表輸入'!$C$5:$C$39,'員工更表輸入'!$A$5:$A$39,'設定 Settings'!$A$7,'員工更表輸入'!$B$5:$B$39,E$116),Lists!$C$11&gt;=SUMIFS('員工更表輸入'!$D$5:$D$39,'員工更表輸入'!$A$5:$A$39,'設定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Settings'!$A$7,'員工更表輸入'!$B$5:$B$39,E$116)&gt;0,Lists!$C$11&gt;=SUMIFS('員工更表輸入'!$E$5:$E$39,'員工更表輸入'!$A$5:$A$39,'設定 Settings'!$A$7,'員工更表輸入'!$B$5:$B$39,E$116),Lists!$C$11&lt;SUMIFS('員工更表輸入'!$F$5:$F$39,'員工更表輸入'!$A$5:$A$39,'設定 Settings'!$A$7,'員工更表輸入'!$B$5:$B$39,E$116)),"Break","Work"))</f>
        <v/>
      </c>
      <c r="F126" s="24">
        <f>IF(OR(SUMIFS('員工更表輸入'!$D$5:$D$39,'員工更表輸入'!$A$5:$A$39,'設定 Settings'!$A$7,'員工更表輸入'!$B$5:$B$39,F$116)&lt;=0,Lists!$C$11&lt;SUMIFS('員工更表輸入'!$C$5:$C$39,'員工更表輸入'!$A$5:$A$39,'設定 Settings'!$A$7,'員工更表輸入'!$B$5:$B$39,F$116),Lists!$C$11&gt;=SUMIFS('員工更表輸入'!$D$5:$D$39,'員工更表輸入'!$A$5:$A$39,'設定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Settings'!$A$7,'員工更表輸入'!$B$5:$B$39,F$116)&gt;0,Lists!$C$11&gt;=SUMIFS('員工更表輸入'!$E$5:$E$39,'員工更表輸入'!$A$5:$A$39,'設定 Settings'!$A$7,'員工更表輸入'!$B$5:$B$39,F$116),Lists!$C$11&lt;SUMIFS('員工更表輸入'!$F$5:$F$39,'員工更表輸入'!$A$5:$A$39,'設定 Settings'!$A$7,'員工更表輸入'!$B$5:$B$39,F$116)),"Break","Work"))</f>
        <v/>
      </c>
      <c r="G126" s="24">
        <f>IF(OR(SUMIFS('員工更表輸入'!$D$5:$D$39,'員工更表輸入'!$A$5:$A$39,'設定 Settings'!$A$7,'員工更表輸入'!$B$5:$B$39,G$116)&lt;=0,Lists!$C$11&lt;SUMIFS('員工更表輸入'!$C$5:$C$39,'員工更表輸入'!$A$5:$A$39,'設定 Settings'!$A$7,'員工更表輸入'!$B$5:$B$39,G$116),Lists!$C$11&gt;=SUMIFS('員工更表輸入'!$D$5:$D$39,'員工更表輸入'!$A$5:$A$39,'設定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Settings'!$A$7,'員工更表輸入'!$B$5:$B$39,G$116)&gt;0,Lists!$C$11&gt;=SUMIFS('員工更表輸入'!$E$5:$E$39,'員工更表輸入'!$A$5:$A$39,'設定 Settings'!$A$7,'員工更表輸入'!$B$5:$B$39,G$116),Lists!$C$11&lt;SUMIFS('員工更表輸入'!$F$5:$F$39,'員工更表輸入'!$A$5:$A$39,'設定 Settings'!$A$7,'員工更表輸入'!$B$5:$B$39,G$116)),"Break","Work"))</f>
        <v/>
      </c>
      <c r="H126" s="24">
        <f>IF(OR(SUMIFS('員工更表輸入'!$D$5:$D$39,'員工更表輸入'!$A$5:$A$39,'設定 Settings'!$A$7,'員工更表輸入'!$B$5:$B$39,H$116)&lt;=0,Lists!$C$11&lt;SUMIFS('員工更表輸入'!$C$5:$C$39,'員工更表輸入'!$A$5:$A$39,'設定 Settings'!$A$7,'員工更表輸入'!$B$5:$B$39,H$116),Lists!$C$11&gt;=SUMIFS('員工更表輸入'!$D$5:$D$39,'員工更表輸入'!$A$5:$A$39,'設定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Settings'!$A$7,'員工更表輸入'!$B$5:$B$39,H$116)&gt;0,Lists!$C$11&gt;=SUMIFS('員工更表輸入'!$E$5:$E$39,'員工更表輸入'!$A$5:$A$39,'設定 Settings'!$A$7,'員工更表輸入'!$B$5:$B$39,H$116),Lists!$C$11&lt;SUMIFS('員工更表輸入'!$F$5:$F$39,'員工更表輸入'!$A$5:$A$39,'設定 Settings'!$A$7,'員工更表輸入'!$B$5:$B$39,H$116)),"Break","Work"))</f>
        <v/>
      </c>
    </row>
    <row r="127">
      <c r="A127" s="22" t="inlineStr">
        <is>
          <t>2:45pm-3:15pm</t>
        </is>
      </c>
      <c r="B127" s="24">
        <f>IF(OR(SUMIFS('員工更表輸入'!$D$5:$D$39,'員工更表輸入'!$A$5:$A$39,'設定 Settings'!$A$7,'員工更表輸入'!$B$5:$B$39,B$116)&lt;=0,Lists!$C$12&lt;SUMIFS('員工更表輸入'!$C$5:$C$39,'員工更表輸入'!$A$5:$A$39,'設定 Settings'!$A$7,'員工更表輸入'!$B$5:$B$39,B$116),Lists!$C$12&gt;=SUMIFS('員工更表輸入'!$D$5:$D$39,'員工更表輸入'!$A$5:$A$39,'設定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Settings'!$A$7,'員工更表輸入'!$B$5:$B$39,B$116)&gt;0,Lists!$C$12&gt;=SUMIFS('員工更表輸入'!$E$5:$E$39,'員工更表輸入'!$A$5:$A$39,'設定 Settings'!$A$7,'員工更表輸入'!$B$5:$B$39,B$116),Lists!$C$12&lt;SUMIFS('員工更表輸入'!$F$5:$F$39,'員工更表輸入'!$A$5:$A$39,'設定 Settings'!$A$7,'員工更表輸入'!$B$5:$B$39,B$116)),"Break","Work"))</f>
        <v/>
      </c>
      <c r="C127" s="24">
        <f>IF(OR(SUMIFS('員工更表輸入'!$D$5:$D$39,'員工更表輸入'!$A$5:$A$39,'設定 Settings'!$A$7,'員工更表輸入'!$B$5:$B$39,C$116)&lt;=0,Lists!$C$12&lt;SUMIFS('員工更表輸入'!$C$5:$C$39,'員工更表輸入'!$A$5:$A$39,'設定 Settings'!$A$7,'員工更表輸入'!$B$5:$B$39,C$116),Lists!$C$12&gt;=SUMIFS('員工更表輸入'!$D$5:$D$39,'員工更表輸入'!$A$5:$A$39,'設定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Settings'!$A$7,'員工更表輸入'!$B$5:$B$39,C$116)&gt;0,Lists!$C$12&gt;=SUMIFS('員工更表輸入'!$E$5:$E$39,'員工更表輸入'!$A$5:$A$39,'設定 Settings'!$A$7,'員工更表輸入'!$B$5:$B$39,C$116),Lists!$C$12&lt;SUMIFS('員工更表輸入'!$F$5:$F$39,'員工更表輸入'!$A$5:$A$39,'設定 Settings'!$A$7,'員工更表輸入'!$B$5:$B$39,C$116)),"Break","Work"))</f>
        <v/>
      </c>
      <c r="D127" s="24">
        <f>IF(OR(SUMIFS('員工更表輸入'!$D$5:$D$39,'員工更表輸入'!$A$5:$A$39,'設定 Settings'!$A$7,'員工更表輸入'!$B$5:$B$39,D$116)&lt;=0,Lists!$C$12&lt;SUMIFS('員工更表輸入'!$C$5:$C$39,'員工更表輸入'!$A$5:$A$39,'設定 Settings'!$A$7,'員工更表輸入'!$B$5:$B$39,D$116),Lists!$C$12&gt;=SUMIFS('員工更表輸入'!$D$5:$D$39,'員工更表輸入'!$A$5:$A$39,'設定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Settings'!$A$7,'員工更表輸入'!$B$5:$B$39,D$116)&gt;0,Lists!$C$12&gt;=SUMIFS('員工更表輸入'!$E$5:$E$39,'員工更表輸入'!$A$5:$A$39,'設定 Settings'!$A$7,'員工更表輸入'!$B$5:$B$39,D$116),Lists!$C$12&lt;SUMIFS('員工更表輸入'!$F$5:$F$39,'員工更表輸入'!$A$5:$A$39,'設定 Settings'!$A$7,'員工更表輸入'!$B$5:$B$39,D$116)),"Break","Work"))</f>
        <v/>
      </c>
      <c r="E127" s="24">
        <f>IF(OR(SUMIFS('員工更表輸入'!$D$5:$D$39,'員工更表輸入'!$A$5:$A$39,'設定 Settings'!$A$7,'員工更表輸入'!$B$5:$B$39,E$116)&lt;=0,Lists!$C$12&lt;SUMIFS('員工更表輸入'!$C$5:$C$39,'員工更表輸入'!$A$5:$A$39,'設定 Settings'!$A$7,'員工更表輸入'!$B$5:$B$39,E$116),Lists!$C$12&gt;=SUMIFS('員工更表輸入'!$D$5:$D$39,'員工更表輸入'!$A$5:$A$39,'設定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Settings'!$A$7,'員工更表輸入'!$B$5:$B$39,E$116)&gt;0,Lists!$C$12&gt;=SUMIFS('員工更表輸入'!$E$5:$E$39,'員工更表輸入'!$A$5:$A$39,'設定 Settings'!$A$7,'員工更表輸入'!$B$5:$B$39,E$116),Lists!$C$12&lt;SUMIFS('員工更表輸入'!$F$5:$F$39,'員工更表輸入'!$A$5:$A$39,'設定 Settings'!$A$7,'員工更表輸入'!$B$5:$B$39,E$116)),"Break","Work"))</f>
        <v/>
      </c>
      <c r="F127" s="24">
        <f>IF(OR(SUMIFS('員工更表輸入'!$D$5:$D$39,'員工更表輸入'!$A$5:$A$39,'設定 Settings'!$A$7,'員工更表輸入'!$B$5:$B$39,F$116)&lt;=0,Lists!$C$12&lt;SUMIFS('員工更表輸入'!$C$5:$C$39,'員工更表輸入'!$A$5:$A$39,'設定 Settings'!$A$7,'員工更表輸入'!$B$5:$B$39,F$116),Lists!$C$12&gt;=SUMIFS('員工更表輸入'!$D$5:$D$39,'員工更表輸入'!$A$5:$A$39,'設定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Settings'!$A$7,'員工更表輸入'!$B$5:$B$39,F$116)&gt;0,Lists!$C$12&gt;=SUMIFS('員工更表輸入'!$E$5:$E$39,'員工更表輸入'!$A$5:$A$39,'設定 Settings'!$A$7,'員工更表輸入'!$B$5:$B$39,F$116),Lists!$C$12&lt;SUMIFS('員工更表輸入'!$F$5:$F$39,'員工更表輸入'!$A$5:$A$39,'設定 Settings'!$A$7,'員工更表輸入'!$B$5:$B$39,F$116)),"Break","Work"))</f>
        <v/>
      </c>
      <c r="G127" s="24">
        <f>IF(OR(SUMIFS('員工更表輸入'!$D$5:$D$39,'員工更表輸入'!$A$5:$A$39,'設定 Settings'!$A$7,'員工更表輸入'!$B$5:$B$39,G$116)&lt;=0,Lists!$C$12&lt;SUMIFS('員工更表輸入'!$C$5:$C$39,'員工更表輸入'!$A$5:$A$39,'設定 Settings'!$A$7,'員工更表輸入'!$B$5:$B$39,G$116),Lists!$C$12&gt;=SUMIFS('員工更表輸入'!$D$5:$D$39,'員工更表輸入'!$A$5:$A$39,'設定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Settings'!$A$7,'員工更表輸入'!$B$5:$B$39,G$116)&gt;0,Lists!$C$12&gt;=SUMIFS('員工更表輸入'!$E$5:$E$39,'員工更表輸入'!$A$5:$A$39,'設定 Settings'!$A$7,'員工更表輸入'!$B$5:$B$39,G$116),Lists!$C$12&lt;SUMIFS('員工更表輸入'!$F$5:$F$39,'員工更表輸入'!$A$5:$A$39,'設定 Settings'!$A$7,'員工更表輸入'!$B$5:$B$39,G$116)),"Break","Work"))</f>
        <v/>
      </c>
      <c r="H127" s="24">
        <f>IF(OR(SUMIFS('員工更表輸入'!$D$5:$D$39,'員工更表輸入'!$A$5:$A$39,'設定 Settings'!$A$7,'員工更表輸入'!$B$5:$B$39,H$116)&lt;=0,Lists!$C$12&lt;SUMIFS('員工更表輸入'!$C$5:$C$39,'員工更表輸入'!$A$5:$A$39,'設定 Settings'!$A$7,'員工更表輸入'!$B$5:$B$39,H$116),Lists!$C$12&gt;=SUMIFS('員工更表輸入'!$D$5:$D$39,'員工更表輸入'!$A$5:$A$39,'設定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Settings'!$A$7,'員工更表輸入'!$B$5:$B$39,H$116)&gt;0,Lists!$C$12&gt;=SUMIFS('員工更表輸入'!$E$5:$E$39,'員工更表輸入'!$A$5:$A$39,'設定 Settings'!$A$7,'員工更表輸入'!$B$5:$B$39,H$116),Lists!$C$12&lt;SUMIFS('員工更表輸入'!$F$5:$F$39,'員工更表輸入'!$A$5:$A$39,'設定 Settings'!$A$7,'員工更表輸入'!$B$5:$B$39,H$116)),"Break","Work"))</f>
        <v/>
      </c>
    </row>
    <row r="128">
      <c r="A128" s="22" t="inlineStr">
        <is>
          <t>3:15pm-3:45pm</t>
        </is>
      </c>
      <c r="B128" s="24">
        <f>IF(OR(SUMIFS('員工更表輸入'!$D$5:$D$39,'員工更表輸入'!$A$5:$A$39,'設定 Settings'!$A$7,'員工更表輸入'!$B$5:$B$39,B$116)&lt;=0,Lists!$C$13&lt;SUMIFS('員工更表輸入'!$C$5:$C$39,'員工更表輸入'!$A$5:$A$39,'設定 Settings'!$A$7,'員工更表輸入'!$B$5:$B$39,B$116),Lists!$C$13&gt;=SUMIFS('員工更表輸入'!$D$5:$D$39,'員工更表輸入'!$A$5:$A$39,'設定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Settings'!$A$7,'員工更表輸入'!$B$5:$B$39,B$116)&gt;0,Lists!$C$13&gt;=SUMIFS('員工更表輸入'!$E$5:$E$39,'員工更表輸入'!$A$5:$A$39,'設定 Settings'!$A$7,'員工更表輸入'!$B$5:$B$39,B$116),Lists!$C$13&lt;SUMIFS('員工更表輸入'!$F$5:$F$39,'員工更表輸入'!$A$5:$A$39,'設定 Settings'!$A$7,'員工更表輸入'!$B$5:$B$39,B$116)),"Break","Work"))</f>
        <v/>
      </c>
      <c r="C128" s="24">
        <f>IF(OR(SUMIFS('員工更表輸入'!$D$5:$D$39,'員工更表輸入'!$A$5:$A$39,'設定 Settings'!$A$7,'員工更表輸入'!$B$5:$B$39,C$116)&lt;=0,Lists!$C$13&lt;SUMIFS('員工更表輸入'!$C$5:$C$39,'員工更表輸入'!$A$5:$A$39,'設定 Settings'!$A$7,'員工更表輸入'!$B$5:$B$39,C$116),Lists!$C$13&gt;=SUMIFS('員工更表輸入'!$D$5:$D$39,'員工更表輸入'!$A$5:$A$39,'設定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Settings'!$A$7,'員工更表輸入'!$B$5:$B$39,C$116)&gt;0,Lists!$C$13&gt;=SUMIFS('員工更表輸入'!$E$5:$E$39,'員工更表輸入'!$A$5:$A$39,'設定 Settings'!$A$7,'員工更表輸入'!$B$5:$B$39,C$116),Lists!$C$13&lt;SUMIFS('員工更表輸入'!$F$5:$F$39,'員工更表輸入'!$A$5:$A$39,'設定 Settings'!$A$7,'員工更表輸入'!$B$5:$B$39,C$116)),"Break","Work"))</f>
        <v/>
      </c>
      <c r="D128" s="24">
        <f>IF(OR(SUMIFS('員工更表輸入'!$D$5:$D$39,'員工更表輸入'!$A$5:$A$39,'設定 Settings'!$A$7,'員工更表輸入'!$B$5:$B$39,D$116)&lt;=0,Lists!$C$13&lt;SUMIFS('員工更表輸入'!$C$5:$C$39,'員工更表輸入'!$A$5:$A$39,'設定 Settings'!$A$7,'員工更表輸入'!$B$5:$B$39,D$116),Lists!$C$13&gt;=SUMIFS('員工更表輸入'!$D$5:$D$39,'員工更表輸入'!$A$5:$A$39,'設定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Settings'!$A$7,'員工更表輸入'!$B$5:$B$39,D$116)&gt;0,Lists!$C$13&gt;=SUMIFS('員工更表輸入'!$E$5:$E$39,'員工更表輸入'!$A$5:$A$39,'設定 Settings'!$A$7,'員工更表輸入'!$B$5:$B$39,D$116),Lists!$C$13&lt;SUMIFS('員工更表輸入'!$F$5:$F$39,'員工更表輸入'!$A$5:$A$39,'設定 Settings'!$A$7,'員工更表輸入'!$B$5:$B$39,D$116)),"Break","Work"))</f>
        <v/>
      </c>
      <c r="E128" s="24">
        <f>IF(OR(SUMIFS('員工更表輸入'!$D$5:$D$39,'員工更表輸入'!$A$5:$A$39,'設定 Settings'!$A$7,'員工更表輸入'!$B$5:$B$39,E$116)&lt;=0,Lists!$C$13&lt;SUMIFS('員工更表輸入'!$C$5:$C$39,'員工更表輸入'!$A$5:$A$39,'設定 Settings'!$A$7,'員工更表輸入'!$B$5:$B$39,E$116),Lists!$C$13&gt;=SUMIFS('員工更表輸入'!$D$5:$D$39,'員工更表輸入'!$A$5:$A$39,'設定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Settings'!$A$7,'員工更表輸入'!$B$5:$B$39,E$116)&gt;0,Lists!$C$13&gt;=SUMIFS('員工更表輸入'!$E$5:$E$39,'員工更表輸入'!$A$5:$A$39,'設定 Settings'!$A$7,'員工更表輸入'!$B$5:$B$39,E$116),Lists!$C$13&lt;SUMIFS('員工更表輸入'!$F$5:$F$39,'員工更表輸入'!$A$5:$A$39,'設定 Settings'!$A$7,'員工更表輸入'!$B$5:$B$39,E$116)),"Break","Work"))</f>
        <v/>
      </c>
      <c r="F128" s="24">
        <f>IF(OR(SUMIFS('員工更表輸入'!$D$5:$D$39,'員工更表輸入'!$A$5:$A$39,'設定 Settings'!$A$7,'員工更表輸入'!$B$5:$B$39,F$116)&lt;=0,Lists!$C$13&lt;SUMIFS('員工更表輸入'!$C$5:$C$39,'員工更表輸入'!$A$5:$A$39,'設定 Settings'!$A$7,'員工更表輸入'!$B$5:$B$39,F$116),Lists!$C$13&gt;=SUMIFS('員工更表輸入'!$D$5:$D$39,'員工更表輸入'!$A$5:$A$39,'設定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Settings'!$A$7,'員工更表輸入'!$B$5:$B$39,F$116)&gt;0,Lists!$C$13&gt;=SUMIFS('員工更表輸入'!$E$5:$E$39,'員工更表輸入'!$A$5:$A$39,'設定 Settings'!$A$7,'員工更表輸入'!$B$5:$B$39,F$116),Lists!$C$13&lt;SUMIFS('員工更表輸入'!$F$5:$F$39,'員工更表輸入'!$A$5:$A$39,'設定 Settings'!$A$7,'員工更表輸入'!$B$5:$B$39,F$116)),"Break","Work"))</f>
        <v/>
      </c>
      <c r="G128" s="24">
        <f>IF(OR(SUMIFS('員工更表輸入'!$D$5:$D$39,'員工更表輸入'!$A$5:$A$39,'設定 Settings'!$A$7,'員工更表輸入'!$B$5:$B$39,G$116)&lt;=0,Lists!$C$13&lt;SUMIFS('員工更表輸入'!$C$5:$C$39,'員工更表輸入'!$A$5:$A$39,'設定 Settings'!$A$7,'員工更表輸入'!$B$5:$B$39,G$116),Lists!$C$13&gt;=SUMIFS('員工更表輸入'!$D$5:$D$39,'員工更表輸入'!$A$5:$A$39,'設定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Settings'!$A$7,'員工更表輸入'!$B$5:$B$39,G$116)&gt;0,Lists!$C$13&gt;=SUMIFS('員工更表輸入'!$E$5:$E$39,'員工更表輸入'!$A$5:$A$39,'設定 Settings'!$A$7,'員工更表輸入'!$B$5:$B$39,G$116),Lists!$C$13&lt;SUMIFS('員工更表輸入'!$F$5:$F$39,'員工更表輸入'!$A$5:$A$39,'設定 Settings'!$A$7,'員工更表輸入'!$B$5:$B$39,G$116)),"Break","Work"))</f>
        <v/>
      </c>
      <c r="H128" s="24">
        <f>IF(OR(SUMIFS('員工更表輸入'!$D$5:$D$39,'員工更表輸入'!$A$5:$A$39,'設定 Settings'!$A$7,'員工更表輸入'!$B$5:$B$39,H$116)&lt;=0,Lists!$C$13&lt;SUMIFS('員工更表輸入'!$C$5:$C$39,'員工更表輸入'!$A$5:$A$39,'設定 Settings'!$A$7,'員工更表輸入'!$B$5:$B$39,H$116),Lists!$C$13&gt;=SUMIFS('員工更表輸入'!$D$5:$D$39,'員工更表輸入'!$A$5:$A$39,'設定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Settings'!$A$7,'員工更表輸入'!$B$5:$B$39,H$116)&gt;0,Lists!$C$13&gt;=SUMIFS('員工更表輸入'!$E$5:$E$39,'員工更表輸入'!$A$5:$A$39,'設定 Settings'!$A$7,'員工更表輸入'!$B$5:$B$39,H$116),Lists!$C$13&lt;SUMIFS('員工更表輸入'!$F$5:$F$39,'員工更表輸入'!$A$5:$A$39,'設定 Settings'!$A$7,'員工更表輸入'!$B$5:$B$39,H$116)),"Break","Work"))</f>
        <v/>
      </c>
    </row>
    <row r="129">
      <c r="A129" s="22" t="inlineStr">
        <is>
          <t>3:45pm-4:15pm</t>
        </is>
      </c>
      <c r="B129" s="24">
        <f>IF(OR(SUMIFS('員工更表輸入'!$D$5:$D$39,'員工更表輸入'!$A$5:$A$39,'設定 Settings'!$A$7,'員工更表輸入'!$B$5:$B$39,B$116)&lt;=0,Lists!$C$14&lt;SUMIFS('員工更表輸入'!$C$5:$C$39,'員工更表輸入'!$A$5:$A$39,'設定 Settings'!$A$7,'員工更表輸入'!$B$5:$B$39,B$116),Lists!$C$14&gt;=SUMIFS('員工更表輸入'!$D$5:$D$39,'員工更表輸入'!$A$5:$A$39,'設定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Settings'!$A$7,'員工更表輸入'!$B$5:$B$39,B$116)&gt;0,Lists!$C$14&gt;=SUMIFS('員工更表輸入'!$E$5:$E$39,'員工更表輸入'!$A$5:$A$39,'設定 Settings'!$A$7,'員工更表輸入'!$B$5:$B$39,B$116),Lists!$C$14&lt;SUMIFS('員工更表輸入'!$F$5:$F$39,'員工更表輸入'!$A$5:$A$39,'設定 Settings'!$A$7,'員工更表輸入'!$B$5:$B$39,B$116)),"Break","Work"))</f>
        <v/>
      </c>
      <c r="C129" s="24">
        <f>IF(OR(SUMIFS('員工更表輸入'!$D$5:$D$39,'員工更表輸入'!$A$5:$A$39,'設定 Settings'!$A$7,'員工更表輸入'!$B$5:$B$39,C$116)&lt;=0,Lists!$C$14&lt;SUMIFS('員工更表輸入'!$C$5:$C$39,'員工更表輸入'!$A$5:$A$39,'設定 Settings'!$A$7,'員工更表輸入'!$B$5:$B$39,C$116),Lists!$C$14&gt;=SUMIFS('員工更表輸入'!$D$5:$D$39,'員工更表輸入'!$A$5:$A$39,'設定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Settings'!$A$7,'員工更表輸入'!$B$5:$B$39,C$116)&gt;0,Lists!$C$14&gt;=SUMIFS('員工更表輸入'!$E$5:$E$39,'員工更表輸入'!$A$5:$A$39,'設定 Settings'!$A$7,'員工更表輸入'!$B$5:$B$39,C$116),Lists!$C$14&lt;SUMIFS('員工更表輸入'!$F$5:$F$39,'員工更表輸入'!$A$5:$A$39,'設定 Settings'!$A$7,'員工更表輸入'!$B$5:$B$39,C$116)),"Break","Work"))</f>
        <v/>
      </c>
      <c r="D129" s="24">
        <f>IF(OR(SUMIFS('員工更表輸入'!$D$5:$D$39,'員工更表輸入'!$A$5:$A$39,'設定 Settings'!$A$7,'員工更表輸入'!$B$5:$B$39,D$116)&lt;=0,Lists!$C$14&lt;SUMIFS('員工更表輸入'!$C$5:$C$39,'員工更表輸入'!$A$5:$A$39,'設定 Settings'!$A$7,'員工更表輸入'!$B$5:$B$39,D$116),Lists!$C$14&gt;=SUMIFS('員工更表輸入'!$D$5:$D$39,'員工更表輸入'!$A$5:$A$39,'設定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Settings'!$A$7,'員工更表輸入'!$B$5:$B$39,D$116)&gt;0,Lists!$C$14&gt;=SUMIFS('員工更表輸入'!$E$5:$E$39,'員工更表輸入'!$A$5:$A$39,'設定 Settings'!$A$7,'員工更表輸入'!$B$5:$B$39,D$116),Lists!$C$14&lt;SUMIFS('員工更表輸入'!$F$5:$F$39,'員工更表輸入'!$A$5:$A$39,'設定 Settings'!$A$7,'員工更表輸入'!$B$5:$B$39,D$116)),"Break","Work"))</f>
        <v/>
      </c>
      <c r="E129" s="24">
        <f>IF(OR(SUMIFS('員工更表輸入'!$D$5:$D$39,'員工更表輸入'!$A$5:$A$39,'設定 Settings'!$A$7,'員工更表輸入'!$B$5:$B$39,E$116)&lt;=0,Lists!$C$14&lt;SUMIFS('員工更表輸入'!$C$5:$C$39,'員工更表輸入'!$A$5:$A$39,'設定 Settings'!$A$7,'員工更表輸入'!$B$5:$B$39,E$116),Lists!$C$14&gt;=SUMIFS('員工更表輸入'!$D$5:$D$39,'員工更表輸入'!$A$5:$A$39,'設定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Settings'!$A$7,'員工更表輸入'!$B$5:$B$39,E$116)&gt;0,Lists!$C$14&gt;=SUMIFS('員工更表輸入'!$E$5:$E$39,'員工更表輸入'!$A$5:$A$39,'設定 Settings'!$A$7,'員工更表輸入'!$B$5:$B$39,E$116),Lists!$C$14&lt;SUMIFS('員工更表輸入'!$F$5:$F$39,'員工更表輸入'!$A$5:$A$39,'設定 Settings'!$A$7,'員工更表輸入'!$B$5:$B$39,E$116)),"Break","Work"))</f>
        <v/>
      </c>
      <c r="F129" s="24">
        <f>IF(OR(SUMIFS('員工更表輸入'!$D$5:$D$39,'員工更表輸入'!$A$5:$A$39,'設定 Settings'!$A$7,'員工更表輸入'!$B$5:$B$39,F$116)&lt;=0,Lists!$C$14&lt;SUMIFS('員工更表輸入'!$C$5:$C$39,'員工更表輸入'!$A$5:$A$39,'設定 Settings'!$A$7,'員工更表輸入'!$B$5:$B$39,F$116),Lists!$C$14&gt;=SUMIFS('員工更表輸入'!$D$5:$D$39,'員工更表輸入'!$A$5:$A$39,'設定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Settings'!$A$7,'員工更表輸入'!$B$5:$B$39,F$116)&gt;0,Lists!$C$14&gt;=SUMIFS('員工更表輸入'!$E$5:$E$39,'員工更表輸入'!$A$5:$A$39,'設定 Settings'!$A$7,'員工更表輸入'!$B$5:$B$39,F$116),Lists!$C$14&lt;SUMIFS('員工更表輸入'!$F$5:$F$39,'員工更表輸入'!$A$5:$A$39,'設定 Settings'!$A$7,'員工更表輸入'!$B$5:$B$39,F$116)),"Break","Work"))</f>
        <v/>
      </c>
      <c r="G129" s="24">
        <f>IF(OR(SUMIFS('員工更表輸入'!$D$5:$D$39,'員工更表輸入'!$A$5:$A$39,'設定 Settings'!$A$7,'員工更表輸入'!$B$5:$B$39,G$116)&lt;=0,Lists!$C$14&lt;SUMIFS('員工更表輸入'!$C$5:$C$39,'員工更表輸入'!$A$5:$A$39,'設定 Settings'!$A$7,'員工更表輸入'!$B$5:$B$39,G$116),Lists!$C$14&gt;=SUMIFS('員工更表輸入'!$D$5:$D$39,'員工更表輸入'!$A$5:$A$39,'設定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Settings'!$A$7,'員工更表輸入'!$B$5:$B$39,G$116)&gt;0,Lists!$C$14&gt;=SUMIFS('員工更表輸入'!$E$5:$E$39,'員工更表輸入'!$A$5:$A$39,'設定 Settings'!$A$7,'員工更表輸入'!$B$5:$B$39,G$116),Lists!$C$14&lt;SUMIFS('員工更表輸入'!$F$5:$F$39,'員工更表輸入'!$A$5:$A$39,'設定 Settings'!$A$7,'員工更表輸入'!$B$5:$B$39,G$116)),"Break","Work"))</f>
        <v/>
      </c>
      <c r="H129" s="24">
        <f>IF(OR(SUMIFS('員工更表輸入'!$D$5:$D$39,'員工更表輸入'!$A$5:$A$39,'設定 Settings'!$A$7,'員工更表輸入'!$B$5:$B$39,H$116)&lt;=0,Lists!$C$14&lt;SUMIFS('員工更表輸入'!$C$5:$C$39,'員工更表輸入'!$A$5:$A$39,'設定 Settings'!$A$7,'員工更表輸入'!$B$5:$B$39,H$116),Lists!$C$14&gt;=SUMIFS('員工更表輸入'!$D$5:$D$39,'員工更表輸入'!$A$5:$A$39,'設定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Settings'!$A$7,'員工更表輸入'!$B$5:$B$39,H$116)&gt;0,Lists!$C$14&gt;=SUMIFS('員工更表輸入'!$E$5:$E$39,'員工更表輸入'!$A$5:$A$39,'設定 Settings'!$A$7,'員工更表輸入'!$B$5:$B$39,H$116),Lists!$C$14&lt;SUMIFS('員工更表輸入'!$F$5:$F$39,'員工更表輸入'!$A$5:$A$39,'設定 Settings'!$A$7,'員工更表輸入'!$B$5:$B$39,H$116)),"Break","Work"))</f>
        <v/>
      </c>
    </row>
    <row r="130">
      <c r="A130" s="22" t="inlineStr">
        <is>
          <t>4:15pm-4:45pm</t>
        </is>
      </c>
      <c r="B130" s="24">
        <f>IF(OR(SUMIFS('員工更表輸入'!$D$5:$D$39,'員工更表輸入'!$A$5:$A$39,'設定 Settings'!$A$7,'員工更表輸入'!$B$5:$B$39,B$116)&lt;=0,Lists!$C$15&lt;SUMIFS('員工更表輸入'!$C$5:$C$39,'員工更表輸入'!$A$5:$A$39,'設定 Settings'!$A$7,'員工更表輸入'!$B$5:$B$39,B$116),Lists!$C$15&gt;=SUMIFS('員工更表輸入'!$D$5:$D$39,'員工更表輸入'!$A$5:$A$39,'設定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Settings'!$A$7,'員工更表輸入'!$B$5:$B$39,B$116)&gt;0,Lists!$C$15&gt;=SUMIFS('員工更表輸入'!$E$5:$E$39,'員工更表輸入'!$A$5:$A$39,'設定 Settings'!$A$7,'員工更表輸入'!$B$5:$B$39,B$116),Lists!$C$15&lt;SUMIFS('員工更表輸入'!$F$5:$F$39,'員工更表輸入'!$A$5:$A$39,'設定 Settings'!$A$7,'員工更表輸入'!$B$5:$B$39,B$116)),"Break","Work"))</f>
        <v/>
      </c>
      <c r="C130" s="24">
        <f>IF(OR(SUMIFS('員工更表輸入'!$D$5:$D$39,'員工更表輸入'!$A$5:$A$39,'設定 Settings'!$A$7,'員工更表輸入'!$B$5:$B$39,C$116)&lt;=0,Lists!$C$15&lt;SUMIFS('員工更表輸入'!$C$5:$C$39,'員工更表輸入'!$A$5:$A$39,'設定 Settings'!$A$7,'員工更表輸入'!$B$5:$B$39,C$116),Lists!$C$15&gt;=SUMIFS('員工更表輸入'!$D$5:$D$39,'員工更表輸入'!$A$5:$A$39,'設定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Settings'!$A$7,'員工更表輸入'!$B$5:$B$39,C$116)&gt;0,Lists!$C$15&gt;=SUMIFS('員工更表輸入'!$E$5:$E$39,'員工更表輸入'!$A$5:$A$39,'設定 Settings'!$A$7,'員工更表輸入'!$B$5:$B$39,C$116),Lists!$C$15&lt;SUMIFS('員工更表輸入'!$F$5:$F$39,'員工更表輸入'!$A$5:$A$39,'設定 Settings'!$A$7,'員工更表輸入'!$B$5:$B$39,C$116)),"Break","Work"))</f>
        <v/>
      </c>
      <c r="D130" s="24">
        <f>IF(OR(SUMIFS('員工更表輸入'!$D$5:$D$39,'員工更表輸入'!$A$5:$A$39,'設定 Settings'!$A$7,'員工更表輸入'!$B$5:$B$39,D$116)&lt;=0,Lists!$C$15&lt;SUMIFS('員工更表輸入'!$C$5:$C$39,'員工更表輸入'!$A$5:$A$39,'設定 Settings'!$A$7,'員工更表輸入'!$B$5:$B$39,D$116),Lists!$C$15&gt;=SUMIFS('員工更表輸入'!$D$5:$D$39,'員工更表輸入'!$A$5:$A$39,'設定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Settings'!$A$7,'員工更表輸入'!$B$5:$B$39,D$116)&gt;0,Lists!$C$15&gt;=SUMIFS('員工更表輸入'!$E$5:$E$39,'員工更表輸入'!$A$5:$A$39,'設定 Settings'!$A$7,'員工更表輸入'!$B$5:$B$39,D$116),Lists!$C$15&lt;SUMIFS('員工更表輸入'!$F$5:$F$39,'員工更表輸入'!$A$5:$A$39,'設定 Settings'!$A$7,'員工更表輸入'!$B$5:$B$39,D$116)),"Break","Work"))</f>
        <v/>
      </c>
      <c r="E130" s="24">
        <f>IF(OR(SUMIFS('員工更表輸入'!$D$5:$D$39,'員工更表輸入'!$A$5:$A$39,'設定 Settings'!$A$7,'員工更表輸入'!$B$5:$B$39,E$116)&lt;=0,Lists!$C$15&lt;SUMIFS('員工更表輸入'!$C$5:$C$39,'員工更表輸入'!$A$5:$A$39,'設定 Settings'!$A$7,'員工更表輸入'!$B$5:$B$39,E$116),Lists!$C$15&gt;=SUMIFS('員工更表輸入'!$D$5:$D$39,'員工更表輸入'!$A$5:$A$39,'設定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Settings'!$A$7,'員工更表輸入'!$B$5:$B$39,E$116)&gt;0,Lists!$C$15&gt;=SUMIFS('員工更表輸入'!$E$5:$E$39,'員工更表輸入'!$A$5:$A$39,'設定 Settings'!$A$7,'員工更表輸入'!$B$5:$B$39,E$116),Lists!$C$15&lt;SUMIFS('員工更表輸入'!$F$5:$F$39,'員工更表輸入'!$A$5:$A$39,'設定 Settings'!$A$7,'員工更表輸入'!$B$5:$B$39,E$116)),"Break","Work"))</f>
        <v/>
      </c>
      <c r="F130" s="24">
        <f>IF(OR(SUMIFS('員工更表輸入'!$D$5:$D$39,'員工更表輸入'!$A$5:$A$39,'設定 Settings'!$A$7,'員工更表輸入'!$B$5:$B$39,F$116)&lt;=0,Lists!$C$15&lt;SUMIFS('員工更表輸入'!$C$5:$C$39,'員工更表輸入'!$A$5:$A$39,'設定 Settings'!$A$7,'員工更表輸入'!$B$5:$B$39,F$116),Lists!$C$15&gt;=SUMIFS('員工更表輸入'!$D$5:$D$39,'員工更表輸入'!$A$5:$A$39,'設定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Settings'!$A$7,'員工更表輸入'!$B$5:$B$39,F$116)&gt;0,Lists!$C$15&gt;=SUMIFS('員工更表輸入'!$E$5:$E$39,'員工更表輸入'!$A$5:$A$39,'設定 Settings'!$A$7,'員工更表輸入'!$B$5:$B$39,F$116),Lists!$C$15&lt;SUMIFS('員工更表輸入'!$F$5:$F$39,'員工更表輸入'!$A$5:$A$39,'設定 Settings'!$A$7,'員工更表輸入'!$B$5:$B$39,F$116)),"Break","Work"))</f>
        <v/>
      </c>
      <c r="G130" s="24">
        <f>IF(OR(SUMIFS('員工更表輸入'!$D$5:$D$39,'員工更表輸入'!$A$5:$A$39,'設定 Settings'!$A$7,'員工更表輸入'!$B$5:$B$39,G$116)&lt;=0,Lists!$C$15&lt;SUMIFS('員工更表輸入'!$C$5:$C$39,'員工更表輸入'!$A$5:$A$39,'設定 Settings'!$A$7,'員工更表輸入'!$B$5:$B$39,G$116),Lists!$C$15&gt;=SUMIFS('員工更表輸入'!$D$5:$D$39,'員工更表輸入'!$A$5:$A$39,'設定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Settings'!$A$7,'員工更表輸入'!$B$5:$B$39,G$116)&gt;0,Lists!$C$15&gt;=SUMIFS('員工更表輸入'!$E$5:$E$39,'員工更表輸入'!$A$5:$A$39,'設定 Settings'!$A$7,'員工更表輸入'!$B$5:$B$39,G$116),Lists!$C$15&lt;SUMIFS('員工更表輸入'!$F$5:$F$39,'員工更表輸入'!$A$5:$A$39,'設定 Settings'!$A$7,'員工更表輸入'!$B$5:$B$39,G$116)),"Break","Work"))</f>
        <v/>
      </c>
      <c r="H130" s="24">
        <f>IF(OR(SUMIFS('員工更表輸入'!$D$5:$D$39,'員工更表輸入'!$A$5:$A$39,'設定 Settings'!$A$7,'員工更表輸入'!$B$5:$B$39,H$116)&lt;=0,Lists!$C$15&lt;SUMIFS('員工更表輸入'!$C$5:$C$39,'員工更表輸入'!$A$5:$A$39,'設定 Settings'!$A$7,'員工更表輸入'!$B$5:$B$39,H$116),Lists!$C$15&gt;=SUMIFS('員工更表輸入'!$D$5:$D$39,'員工更表輸入'!$A$5:$A$39,'設定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Settings'!$A$7,'員工更表輸入'!$B$5:$B$39,H$116)&gt;0,Lists!$C$15&gt;=SUMIFS('員工更表輸入'!$E$5:$E$39,'員工更表輸入'!$A$5:$A$39,'設定 Settings'!$A$7,'員工更表輸入'!$B$5:$B$39,H$116),Lists!$C$15&lt;SUMIFS('員工更表輸入'!$F$5:$F$39,'員工更表輸入'!$A$5:$A$39,'設定 Settings'!$A$7,'員工更表輸入'!$B$5:$B$39,H$116)),"Break","Work"))</f>
        <v/>
      </c>
    </row>
    <row r="131">
      <c r="A131" s="22" t="inlineStr">
        <is>
          <t>4:45pm-5:15pm</t>
        </is>
      </c>
      <c r="B131" s="24">
        <f>IF(OR(SUMIFS('員工更表輸入'!$D$5:$D$39,'員工更表輸入'!$A$5:$A$39,'設定 Settings'!$A$7,'員工更表輸入'!$B$5:$B$39,B$116)&lt;=0,Lists!$C$16&lt;SUMIFS('員工更表輸入'!$C$5:$C$39,'員工更表輸入'!$A$5:$A$39,'設定 Settings'!$A$7,'員工更表輸入'!$B$5:$B$39,B$116),Lists!$C$16&gt;=SUMIFS('員工更表輸入'!$D$5:$D$39,'員工更表輸入'!$A$5:$A$39,'設定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Settings'!$A$7,'員工更表輸入'!$B$5:$B$39,B$116)&gt;0,Lists!$C$16&gt;=SUMIFS('員工更表輸入'!$E$5:$E$39,'員工更表輸入'!$A$5:$A$39,'設定 Settings'!$A$7,'員工更表輸入'!$B$5:$B$39,B$116),Lists!$C$16&lt;SUMIFS('員工更表輸入'!$F$5:$F$39,'員工更表輸入'!$A$5:$A$39,'設定 Settings'!$A$7,'員工更表輸入'!$B$5:$B$39,B$116)),"Break","Work"))</f>
        <v/>
      </c>
      <c r="C131" s="24">
        <f>IF(OR(SUMIFS('員工更表輸入'!$D$5:$D$39,'員工更表輸入'!$A$5:$A$39,'設定 Settings'!$A$7,'員工更表輸入'!$B$5:$B$39,C$116)&lt;=0,Lists!$C$16&lt;SUMIFS('員工更表輸入'!$C$5:$C$39,'員工更表輸入'!$A$5:$A$39,'設定 Settings'!$A$7,'員工更表輸入'!$B$5:$B$39,C$116),Lists!$C$16&gt;=SUMIFS('員工更表輸入'!$D$5:$D$39,'員工更表輸入'!$A$5:$A$39,'設定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Settings'!$A$7,'員工更表輸入'!$B$5:$B$39,C$116)&gt;0,Lists!$C$16&gt;=SUMIFS('員工更表輸入'!$E$5:$E$39,'員工更表輸入'!$A$5:$A$39,'設定 Settings'!$A$7,'員工更表輸入'!$B$5:$B$39,C$116),Lists!$C$16&lt;SUMIFS('員工更表輸入'!$F$5:$F$39,'員工更表輸入'!$A$5:$A$39,'設定 Settings'!$A$7,'員工更表輸入'!$B$5:$B$39,C$116)),"Break","Work"))</f>
        <v/>
      </c>
      <c r="D131" s="24">
        <f>IF(OR(SUMIFS('員工更表輸入'!$D$5:$D$39,'員工更表輸入'!$A$5:$A$39,'設定 Settings'!$A$7,'員工更表輸入'!$B$5:$B$39,D$116)&lt;=0,Lists!$C$16&lt;SUMIFS('員工更表輸入'!$C$5:$C$39,'員工更表輸入'!$A$5:$A$39,'設定 Settings'!$A$7,'員工更表輸入'!$B$5:$B$39,D$116),Lists!$C$16&gt;=SUMIFS('員工更表輸入'!$D$5:$D$39,'員工更表輸入'!$A$5:$A$39,'設定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Settings'!$A$7,'員工更表輸入'!$B$5:$B$39,D$116)&gt;0,Lists!$C$16&gt;=SUMIFS('員工更表輸入'!$E$5:$E$39,'員工更表輸入'!$A$5:$A$39,'設定 Settings'!$A$7,'員工更表輸入'!$B$5:$B$39,D$116),Lists!$C$16&lt;SUMIFS('員工更表輸入'!$F$5:$F$39,'員工更表輸入'!$A$5:$A$39,'設定 Settings'!$A$7,'員工更表輸入'!$B$5:$B$39,D$116)),"Break","Work"))</f>
        <v/>
      </c>
      <c r="E131" s="24">
        <f>IF(OR(SUMIFS('員工更表輸入'!$D$5:$D$39,'員工更表輸入'!$A$5:$A$39,'設定 Settings'!$A$7,'員工更表輸入'!$B$5:$B$39,E$116)&lt;=0,Lists!$C$16&lt;SUMIFS('員工更表輸入'!$C$5:$C$39,'員工更表輸入'!$A$5:$A$39,'設定 Settings'!$A$7,'員工更表輸入'!$B$5:$B$39,E$116),Lists!$C$16&gt;=SUMIFS('員工更表輸入'!$D$5:$D$39,'員工更表輸入'!$A$5:$A$39,'設定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Settings'!$A$7,'員工更表輸入'!$B$5:$B$39,E$116)&gt;0,Lists!$C$16&gt;=SUMIFS('員工更表輸入'!$E$5:$E$39,'員工更表輸入'!$A$5:$A$39,'設定 Settings'!$A$7,'員工更表輸入'!$B$5:$B$39,E$116),Lists!$C$16&lt;SUMIFS('員工更表輸入'!$F$5:$F$39,'員工更表輸入'!$A$5:$A$39,'設定 Settings'!$A$7,'員工更表輸入'!$B$5:$B$39,E$116)),"Break","Work"))</f>
        <v/>
      </c>
      <c r="F131" s="24">
        <f>IF(OR(SUMIFS('員工更表輸入'!$D$5:$D$39,'員工更表輸入'!$A$5:$A$39,'設定 Settings'!$A$7,'員工更表輸入'!$B$5:$B$39,F$116)&lt;=0,Lists!$C$16&lt;SUMIFS('員工更表輸入'!$C$5:$C$39,'員工更表輸入'!$A$5:$A$39,'設定 Settings'!$A$7,'員工更表輸入'!$B$5:$B$39,F$116),Lists!$C$16&gt;=SUMIFS('員工更表輸入'!$D$5:$D$39,'員工更表輸入'!$A$5:$A$39,'設定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Settings'!$A$7,'員工更表輸入'!$B$5:$B$39,F$116)&gt;0,Lists!$C$16&gt;=SUMIFS('員工更表輸入'!$E$5:$E$39,'員工更表輸入'!$A$5:$A$39,'設定 Settings'!$A$7,'員工更表輸入'!$B$5:$B$39,F$116),Lists!$C$16&lt;SUMIFS('員工更表輸入'!$F$5:$F$39,'員工更表輸入'!$A$5:$A$39,'設定 Settings'!$A$7,'員工更表輸入'!$B$5:$B$39,F$116)),"Break","Work"))</f>
        <v/>
      </c>
      <c r="G131" s="24">
        <f>IF(OR(SUMIFS('員工更表輸入'!$D$5:$D$39,'員工更表輸入'!$A$5:$A$39,'設定 Settings'!$A$7,'員工更表輸入'!$B$5:$B$39,G$116)&lt;=0,Lists!$C$16&lt;SUMIFS('員工更表輸入'!$C$5:$C$39,'員工更表輸入'!$A$5:$A$39,'設定 Settings'!$A$7,'員工更表輸入'!$B$5:$B$39,G$116),Lists!$C$16&gt;=SUMIFS('員工更表輸入'!$D$5:$D$39,'員工更表輸入'!$A$5:$A$39,'設定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Settings'!$A$7,'員工更表輸入'!$B$5:$B$39,G$116)&gt;0,Lists!$C$16&gt;=SUMIFS('員工更表輸入'!$E$5:$E$39,'員工更表輸入'!$A$5:$A$39,'設定 Settings'!$A$7,'員工更表輸入'!$B$5:$B$39,G$116),Lists!$C$16&lt;SUMIFS('員工更表輸入'!$F$5:$F$39,'員工更表輸入'!$A$5:$A$39,'設定 Settings'!$A$7,'員工更表輸入'!$B$5:$B$39,G$116)),"Break","Work"))</f>
        <v/>
      </c>
      <c r="H131" s="24">
        <f>IF(OR(SUMIFS('員工更表輸入'!$D$5:$D$39,'員工更表輸入'!$A$5:$A$39,'設定 Settings'!$A$7,'員工更表輸入'!$B$5:$B$39,H$116)&lt;=0,Lists!$C$16&lt;SUMIFS('員工更表輸入'!$C$5:$C$39,'員工更表輸入'!$A$5:$A$39,'設定 Settings'!$A$7,'員工更表輸入'!$B$5:$B$39,H$116),Lists!$C$16&gt;=SUMIFS('員工更表輸入'!$D$5:$D$39,'員工更表輸入'!$A$5:$A$39,'設定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Settings'!$A$7,'員工更表輸入'!$B$5:$B$39,H$116)&gt;0,Lists!$C$16&gt;=SUMIFS('員工更表輸入'!$E$5:$E$39,'員工更表輸入'!$A$5:$A$39,'設定 Settings'!$A$7,'員工更表輸入'!$B$5:$B$39,H$116),Lists!$C$16&lt;SUMIFS('員工更表輸入'!$F$5:$F$39,'員工更表輸入'!$A$5:$A$39,'設定 Settings'!$A$7,'員工更表輸入'!$B$5:$B$39,H$116)),"Break","Work"))</f>
        <v/>
      </c>
    </row>
    <row r="132">
      <c r="A132" s="22" t="inlineStr">
        <is>
          <t>5:15pm-5:45pm</t>
        </is>
      </c>
      <c r="B132" s="24">
        <f>IF(OR(SUMIFS('員工更表輸入'!$D$5:$D$39,'員工更表輸入'!$A$5:$A$39,'設定 Settings'!$A$7,'員工更表輸入'!$B$5:$B$39,B$116)&lt;=0,Lists!$C$17&lt;SUMIFS('員工更表輸入'!$C$5:$C$39,'員工更表輸入'!$A$5:$A$39,'設定 Settings'!$A$7,'員工更表輸入'!$B$5:$B$39,B$116),Lists!$C$17&gt;=SUMIFS('員工更表輸入'!$D$5:$D$39,'員工更表輸入'!$A$5:$A$39,'設定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Settings'!$A$7,'員工更表輸入'!$B$5:$B$39,B$116)&gt;0,Lists!$C$17&gt;=SUMIFS('員工更表輸入'!$E$5:$E$39,'員工更表輸入'!$A$5:$A$39,'設定 Settings'!$A$7,'員工更表輸入'!$B$5:$B$39,B$116),Lists!$C$17&lt;SUMIFS('員工更表輸入'!$F$5:$F$39,'員工更表輸入'!$A$5:$A$39,'設定 Settings'!$A$7,'員工更表輸入'!$B$5:$B$39,B$116)),"Break","Work"))</f>
        <v/>
      </c>
      <c r="C132" s="24">
        <f>IF(OR(SUMIFS('員工更表輸入'!$D$5:$D$39,'員工更表輸入'!$A$5:$A$39,'設定 Settings'!$A$7,'員工更表輸入'!$B$5:$B$39,C$116)&lt;=0,Lists!$C$17&lt;SUMIFS('員工更表輸入'!$C$5:$C$39,'員工更表輸入'!$A$5:$A$39,'設定 Settings'!$A$7,'員工更表輸入'!$B$5:$B$39,C$116),Lists!$C$17&gt;=SUMIFS('員工更表輸入'!$D$5:$D$39,'員工更表輸入'!$A$5:$A$39,'設定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Settings'!$A$7,'員工更表輸入'!$B$5:$B$39,C$116)&gt;0,Lists!$C$17&gt;=SUMIFS('員工更表輸入'!$E$5:$E$39,'員工更表輸入'!$A$5:$A$39,'設定 Settings'!$A$7,'員工更表輸入'!$B$5:$B$39,C$116),Lists!$C$17&lt;SUMIFS('員工更表輸入'!$F$5:$F$39,'員工更表輸入'!$A$5:$A$39,'設定 Settings'!$A$7,'員工更表輸入'!$B$5:$B$39,C$116)),"Break","Work"))</f>
        <v/>
      </c>
      <c r="D132" s="24">
        <f>IF(OR(SUMIFS('員工更表輸入'!$D$5:$D$39,'員工更表輸入'!$A$5:$A$39,'設定 Settings'!$A$7,'員工更表輸入'!$B$5:$B$39,D$116)&lt;=0,Lists!$C$17&lt;SUMIFS('員工更表輸入'!$C$5:$C$39,'員工更表輸入'!$A$5:$A$39,'設定 Settings'!$A$7,'員工更表輸入'!$B$5:$B$39,D$116),Lists!$C$17&gt;=SUMIFS('員工更表輸入'!$D$5:$D$39,'員工更表輸入'!$A$5:$A$39,'設定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Settings'!$A$7,'員工更表輸入'!$B$5:$B$39,D$116)&gt;0,Lists!$C$17&gt;=SUMIFS('員工更表輸入'!$E$5:$E$39,'員工更表輸入'!$A$5:$A$39,'設定 Settings'!$A$7,'員工更表輸入'!$B$5:$B$39,D$116),Lists!$C$17&lt;SUMIFS('員工更表輸入'!$F$5:$F$39,'員工更表輸入'!$A$5:$A$39,'設定 Settings'!$A$7,'員工更表輸入'!$B$5:$B$39,D$116)),"Break","Work"))</f>
        <v/>
      </c>
      <c r="E132" s="24">
        <f>IF(OR(SUMIFS('員工更表輸入'!$D$5:$D$39,'員工更表輸入'!$A$5:$A$39,'設定 Settings'!$A$7,'員工更表輸入'!$B$5:$B$39,E$116)&lt;=0,Lists!$C$17&lt;SUMIFS('員工更表輸入'!$C$5:$C$39,'員工更表輸入'!$A$5:$A$39,'設定 Settings'!$A$7,'員工更表輸入'!$B$5:$B$39,E$116),Lists!$C$17&gt;=SUMIFS('員工更表輸入'!$D$5:$D$39,'員工更表輸入'!$A$5:$A$39,'設定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Settings'!$A$7,'員工更表輸入'!$B$5:$B$39,E$116)&gt;0,Lists!$C$17&gt;=SUMIFS('員工更表輸入'!$E$5:$E$39,'員工更表輸入'!$A$5:$A$39,'設定 Settings'!$A$7,'員工更表輸入'!$B$5:$B$39,E$116),Lists!$C$17&lt;SUMIFS('員工更表輸入'!$F$5:$F$39,'員工更表輸入'!$A$5:$A$39,'設定 Settings'!$A$7,'員工更表輸入'!$B$5:$B$39,E$116)),"Break","Work"))</f>
        <v/>
      </c>
      <c r="F132" s="24">
        <f>IF(OR(SUMIFS('員工更表輸入'!$D$5:$D$39,'員工更表輸入'!$A$5:$A$39,'設定 Settings'!$A$7,'員工更表輸入'!$B$5:$B$39,F$116)&lt;=0,Lists!$C$17&lt;SUMIFS('員工更表輸入'!$C$5:$C$39,'員工更表輸入'!$A$5:$A$39,'設定 Settings'!$A$7,'員工更表輸入'!$B$5:$B$39,F$116),Lists!$C$17&gt;=SUMIFS('員工更表輸入'!$D$5:$D$39,'員工更表輸入'!$A$5:$A$39,'設定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Settings'!$A$7,'員工更表輸入'!$B$5:$B$39,F$116)&gt;0,Lists!$C$17&gt;=SUMIFS('員工更表輸入'!$E$5:$E$39,'員工更表輸入'!$A$5:$A$39,'設定 Settings'!$A$7,'員工更表輸入'!$B$5:$B$39,F$116),Lists!$C$17&lt;SUMIFS('員工更表輸入'!$F$5:$F$39,'員工更表輸入'!$A$5:$A$39,'設定 Settings'!$A$7,'員工更表輸入'!$B$5:$B$39,F$116)),"Break","Work"))</f>
        <v/>
      </c>
      <c r="G132" s="24">
        <f>IF(OR(SUMIFS('員工更表輸入'!$D$5:$D$39,'員工更表輸入'!$A$5:$A$39,'設定 Settings'!$A$7,'員工更表輸入'!$B$5:$B$39,G$116)&lt;=0,Lists!$C$17&lt;SUMIFS('員工更表輸入'!$C$5:$C$39,'員工更表輸入'!$A$5:$A$39,'設定 Settings'!$A$7,'員工更表輸入'!$B$5:$B$39,G$116),Lists!$C$17&gt;=SUMIFS('員工更表輸入'!$D$5:$D$39,'員工更表輸入'!$A$5:$A$39,'設定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Settings'!$A$7,'員工更表輸入'!$B$5:$B$39,G$116)&gt;0,Lists!$C$17&gt;=SUMIFS('員工更表輸入'!$E$5:$E$39,'員工更表輸入'!$A$5:$A$39,'設定 Settings'!$A$7,'員工更表輸入'!$B$5:$B$39,G$116),Lists!$C$17&lt;SUMIFS('員工更表輸入'!$F$5:$F$39,'員工更表輸入'!$A$5:$A$39,'設定 Settings'!$A$7,'員工更表輸入'!$B$5:$B$39,G$116)),"Break","Work"))</f>
        <v/>
      </c>
      <c r="H132" s="24">
        <f>IF(OR(SUMIFS('員工更表輸入'!$D$5:$D$39,'員工更表輸入'!$A$5:$A$39,'設定 Settings'!$A$7,'員工更表輸入'!$B$5:$B$39,H$116)&lt;=0,Lists!$C$17&lt;SUMIFS('員工更表輸入'!$C$5:$C$39,'員工更表輸入'!$A$5:$A$39,'設定 Settings'!$A$7,'員工更表輸入'!$B$5:$B$39,H$116),Lists!$C$17&gt;=SUMIFS('員工更表輸入'!$D$5:$D$39,'員工更表輸入'!$A$5:$A$39,'設定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Settings'!$A$7,'員工更表輸入'!$B$5:$B$39,H$116)&gt;0,Lists!$C$17&gt;=SUMIFS('員工更表輸入'!$E$5:$E$39,'員工更表輸入'!$A$5:$A$39,'設定 Settings'!$A$7,'員工更表輸入'!$B$5:$B$39,H$116),Lists!$C$17&lt;SUMIFS('員工更表輸入'!$F$5:$F$39,'員工更表輸入'!$A$5:$A$39,'設定 Settings'!$A$7,'員工更表輸入'!$B$5:$B$39,H$116)),"Break","Work"))</f>
        <v/>
      </c>
    </row>
    <row r="133">
      <c r="A133" s="22" t="inlineStr">
        <is>
          <t>5:45pm-6:15pm</t>
        </is>
      </c>
      <c r="B133" s="24">
        <f>IF(OR(SUMIFS('員工更表輸入'!$D$5:$D$39,'員工更表輸入'!$A$5:$A$39,'設定 Settings'!$A$7,'員工更表輸入'!$B$5:$B$39,B$116)&lt;=0,Lists!$C$18&lt;SUMIFS('員工更表輸入'!$C$5:$C$39,'員工更表輸入'!$A$5:$A$39,'設定 Settings'!$A$7,'員工更表輸入'!$B$5:$B$39,B$116),Lists!$C$18&gt;=SUMIFS('員工更表輸入'!$D$5:$D$39,'員工更表輸入'!$A$5:$A$39,'設定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Settings'!$A$7,'員工更表輸入'!$B$5:$B$39,B$116)&gt;0,Lists!$C$18&gt;=SUMIFS('員工更表輸入'!$E$5:$E$39,'員工更表輸入'!$A$5:$A$39,'設定 Settings'!$A$7,'員工更表輸入'!$B$5:$B$39,B$116),Lists!$C$18&lt;SUMIFS('員工更表輸入'!$F$5:$F$39,'員工更表輸入'!$A$5:$A$39,'設定 Settings'!$A$7,'員工更表輸入'!$B$5:$B$39,B$116)),"Break","Work"))</f>
        <v/>
      </c>
      <c r="C133" s="24">
        <f>IF(OR(SUMIFS('員工更表輸入'!$D$5:$D$39,'員工更表輸入'!$A$5:$A$39,'設定 Settings'!$A$7,'員工更表輸入'!$B$5:$B$39,C$116)&lt;=0,Lists!$C$18&lt;SUMIFS('員工更表輸入'!$C$5:$C$39,'員工更表輸入'!$A$5:$A$39,'設定 Settings'!$A$7,'員工更表輸入'!$B$5:$B$39,C$116),Lists!$C$18&gt;=SUMIFS('員工更表輸入'!$D$5:$D$39,'員工更表輸入'!$A$5:$A$39,'設定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Settings'!$A$7,'員工更表輸入'!$B$5:$B$39,C$116)&gt;0,Lists!$C$18&gt;=SUMIFS('員工更表輸入'!$E$5:$E$39,'員工更表輸入'!$A$5:$A$39,'設定 Settings'!$A$7,'員工更表輸入'!$B$5:$B$39,C$116),Lists!$C$18&lt;SUMIFS('員工更表輸入'!$F$5:$F$39,'員工更表輸入'!$A$5:$A$39,'設定 Settings'!$A$7,'員工更表輸入'!$B$5:$B$39,C$116)),"Break","Work"))</f>
        <v/>
      </c>
      <c r="D133" s="24">
        <f>IF(OR(SUMIFS('員工更表輸入'!$D$5:$D$39,'員工更表輸入'!$A$5:$A$39,'設定 Settings'!$A$7,'員工更表輸入'!$B$5:$B$39,D$116)&lt;=0,Lists!$C$18&lt;SUMIFS('員工更表輸入'!$C$5:$C$39,'員工更表輸入'!$A$5:$A$39,'設定 Settings'!$A$7,'員工更表輸入'!$B$5:$B$39,D$116),Lists!$C$18&gt;=SUMIFS('員工更表輸入'!$D$5:$D$39,'員工更表輸入'!$A$5:$A$39,'設定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Settings'!$A$7,'員工更表輸入'!$B$5:$B$39,D$116)&gt;0,Lists!$C$18&gt;=SUMIFS('員工更表輸入'!$E$5:$E$39,'員工更表輸入'!$A$5:$A$39,'設定 Settings'!$A$7,'員工更表輸入'!$B$5:$B$39,D$116),Lists!$C$18&lt;SUMIFS('員工更表輸入'!$F$5:$F$39,'員工更表輸入'!$A$5:$A$39,'設定 Settings'!$A$7,'員工更表輸入'!$B$5:$B$39,D$116)),"Break","Work"))</f>
        <v/>
      </c>
      <c r="E133" s="24">
        <f>IF(OR(SUMIFS('員工更表輸入'!$D$5:$D$39,'員工更表輸入'!$A$5:$A$39,'設定 Settings'!$A$7,'員工更表輸入'!$B$5:$B$39,E$116)&lt;=0,Lists!$C$18&lt;SUMIFS('員工更表輸入'!$C$5:$C$39,'員工更表輸入'!$A$5:$A$39,'設定 Settings'!$A$7,'員工更表輸入'!$B$5:$B$39,E$116),Lists!$C$18&gt;=SUMIFS('員工更表輸入'!$D$5:$D$39,'員工更表輸入'!$A$5:$A$39,'設定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Settings'!$A$7,'員工更表輸入'!$B$5:$B$39,E$116)&gt;0,Lists!$C$18&gt;=SUMIFS('員工更表輸入'!$E$5:$E$39,'員工更表輸入'!$A$5:$A$39,'設定 Settings'!$A$7,'員工更表輸入'!$B$5:$B$39,E$116),Lists!$C$18&lt;SUMIFS('員工更表輸入'!$F$5:$F$39,'員工更表輸入'!$A$5:$A$39,'設定 Settings'!$A$7,'員工更表輸入'!$B$5:$B$39,E$116)),"Break","Work"))</f>
        <v/>
      </c>
      <c r="F133" s="24">
        <f>IF(OR(SUMIFS('員工更表輸入'!$D$5:$D$39,'員工更表輸入'!$A$5:$A$39,'設定 Settings'!$A$7,'員工更表輸入'!$B$5:$B$39,F$116)&lt;=0,Lists!$C$18&lt;SUMIFS('員工更表輸入'!$C$5:$C$39,'員工更表輸入'!$A$5:$A$39,'設定 Settings'!$A$7,'員工更表輸入'!$B$5:$B$39,F$116),Lists!$C$18&gt;=SUMIFS('員工更表輸入'!$D$5:$D$39,'員工更表輸入'!$A$5:$A$39,'設定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Settings'!$A$7,'員工更表輸入'!$B$5:$B$39,F$116)&gt;0,Lists!$C$18&gt;=SUMIFS('員工更表輸入'!$E$5:$E$39,'員工更表輸入'!$A$5:$A$39,'設定 Settings'!$A$7,'員工更表輸入'!$B$5:$B$39,F$116),Lists!$C$18&lt;SUMIFS('員工更表輸入'!$F$5:$F$39,'員工更表輸入'!$A$5:$A$39,'設定 Settings'!$A$7,'員工更表輸入'!$B$5:$B$39,F$116)),"Break","Work"))</f>
        <v/>
      </c>
      <c r="G133" s="24">
        <f>IF(OR(SUMIFS('員工更表輸入'!$D$5:$D$39,'員工更表輸入'!$A$5:$A$39,'設定 Settings'!$A$7,'員工更表輸入'!$B$5:$B$39,G$116)&lt;=0,Lists!$C$18&lt;SUMIFS('員工更表輸入'!$C$5:$C$39,'員工更表輸入'!$A$5:$A$39,'設定 Settings'!$A$7,'員工更表輸入'!$B$5:$B$39,G$116),Lists!$C$18&gt;=SUMIFS('員工更表輸入'!$D$5:$D$39,'員工更表輸入'!$A$5:$A$39,'設定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Settings'!$A$7,'員工更表輸入'!$B$5:$B$39,G$116)&gt;0,Lists!$C$18&gt;=SUMIFS('員工更表輸入'!$E$5:$E$39,'員工更表輸入'!$A$5:$A$39,'設定 Settings'!$A$7,'員工更表輸入'!$B$5:$B$39,G$116),Lists!$C$18&lt;SUMIFS('員工更表輸入'!$F$5:$F$39,'員工更表輸入'!$A$5:$A$39,'設定 Settings'!$A$7,'員工更表輸入'!$B$5:$B$39,G$116)),"Break","Work"))</f>
        <v/>
      </c>
      <c r="H133" s="24">
        <f>IF(OR(SUMIFS('員工更表輸入'!$D$5:$D$39,'員工更表輸入'!$A$5:$A$39,'設定 Settings'!$A$7,'員工更表輸入'!$B$5:$B$39,H$116)&lt;=0,Lists!$C$18&lt;SUMIFS('員工更表輸入'!$C$5:$C$39,'員工更表輸入'!$A$5:$A$39,'設定 Settings'!$A$7,'員工更表輸入'!$B$5:$B$39,H$116),Lists!$C$18&gt;=SUMIFS('員工更表輸入'!$D$5:$D$39,'員工更表輸入'!$A$5:$A$39,'設定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Settings'!$A$7,'員工更表輸入'!$B$5:$B$39,H$116)&gt;0,Lists!$C$18&gt;=SUMIFS('員工更表輸入'!$E$5:$E$39,'員工更表輸入'!$A$5:$A$39,'設定 Settings'!$A$7,'員工更表輸入'!$B$5:$B$39,H$116),Lists!$C$18&lt;SUMIFS('員工更表輸入'!$F$5:$F$39,'員工更表輸入'!$A$5:$A$39,'設定 Settings'!$A$7,'員工更表輸入'!$B$5:$B$39,H$116)),"Break","Work"))</f>
        <v/>
      </c>
    </row>
    <row r="134">
      <c r="A134" s="22" t="inlineStr">
        <is>
          <t>6:15pm-6:45pm</t>
        </is>
      </c>
      <c r="B134" s="24">
        <f>IF(OR(SUMIFS('員工更表輸入'!$D$5:$D$39,'員工更表輸入'!$A$5:$A$39,'設定 Settings'!$A$7,'員工更表輸入'!$B$5:$B$39,B$116)&lt;=0,Lists!$C$19&lt;SUMIFS('員工更表輸入'!$C$5:$C$39,'員工更表輸入'!$A$5:$A$39,'設定 Settings'!$A$7,'員工更表輸入'!$B$5:$B$39,B$116),Lists!$C$19&gt;=SUMIFS('員工更表輸入'!$D$5:$D$39,'員工更表輸入'!$A$5:$A$39,'設定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Settings'!$A$7,'員工更表輸入'!$B$5:$B$39,B$116)&gt;0,Lists!$C$19&gt;=SUMIFS('員工更表輸入'!$E$5:$E$39,'員工更表輸入'!$A$5:$A$39,'設定 Settings'!$A$7,'員工更表輸入'!$B$5:$B$39,B$116),Lists!$C$19&lt;SUMIFS('員工更表輸入'!$F$5:$F$39,'員工更表輸入'!$A$5:$A$39,'設定 Settings'!$A$7,'員工更表輸入'!$B$5:$B$39,B$116)),"Break","Work"))</f>
        <v/>
      </c>
      <c r="C134" s="24">
        <f>IF(OR(SUMIFS('員工更表輸入'!$D$5:$D$39,'員工更表輸入'!$A$5:$A$39,'設定 Settings'!$A$7,'員工更表輸入'!$B$5:$B$39,C$116)&lt;=0,Lists!$C$19&lt;SUMIFS('員工更表輸入'!$C$5:$C$39,'員工更表輸入'!$A$5:$A$39,'設定 Settings'!$A$7,'員工更表輸入'!$B$5:$B$39,C$116),Lists!$C$19&gt;=SUMIFS('員工更表輸入'!$D$5:$D$39,'員工更表輸入'!$A$5:$A$39,'設定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Settings'!$A$7,'員工更表輸入'!$B$5:$B$39,C$116)&gt;0,Lists!$C$19&gt;=SUMIFS('員工更表輸入'!$E$5:$E$39,'員工更表輸入'!$A$5:$A$39,'設定 Settings'!$A$7,'員工更表輸入'!$B$5:$B$39,C$116),Lists!$C$19&lt;SUMIFS('員工更表輸入'!$F$5:$F$39,'員工更表輸入'!$A$5:$A$39,'設定 Settings'!$A$7,'員工更表輸入'!$B$5:$B$39,C$116)),"Break","Work"))</f>
        <v/>
      </c>
      <c r="D134" s="24">
        <f>IF(OR(SUMIFS('員工更表輸入'!$D$5:$D$39,'員工更表輸入'!$A$5:$A$39,'設定 Settings'!$A$7,'員工更表輸入'!$B$5:$B$39,D$116)&lt;=0,Lists!$C$19&lt;SUMIFS('員工更表輸入'!$C$5:$C$39,'員工更表輸入'!$A$5:$A$39,'設定 Settings'!$A$7,'員工更表輸入'!$B$5:$B$39,D$116),Lists!$C$19&gt;=SUMIFS('員工更表輸入'!$D$5:$D$39,'員工更表輸入'!$A$5:$A$39,'設定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Settings'!$A$7,'員工更表輸入'!$B$5:$B$39,D$116)&gt;0,Lists!$C$19&gt;=SUMIFS('員工更表輸入'!$E$5:$E$39,'員工更表輸入'!$A$5:$A$39,'設定 Settings'!$A$7,'員工更表輸入'!$B$5:$B$39,D$116),Lists!$C$19&lt;SUMIFS('員工更表輸入'!$F$5:$F$39,'員工更表輸入'!$A$5:$A$39,'設定 Settings'!$A$7,'員工更表輸入'!$B$5:$B$39,D$116)),"Break","Work"))</f>
        <v/>
      </c>
      <c r="E134" s="24">
        <f>IF(OR(SUMIFS('員工更表輸入'!$D$5:$D$39,'員工更表輸入'!$A$5:$A$39,'設定 Settings'!$A$7,'員工更表輸入'!$B$5:$B$39,E$116)&lt;=0,Lists!$C$19&lt;SUMIFS('員工更表輸入'!$C$5:$C$39,'員工更表輸入'!$A$5:$A$39,'設定 Settings'!$A$7,'員工更表輸入'!$B$5:$B$39,E$116),Lists!$C$19&gt;=SUMIFS('員工更表輸入'!$D$5:$D$39,'員工更表輸入'!$A$5:$A$39,'設定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Settings'!$A$7,'員工更表輸入'!$B$5:$B$39,E$116)&gt;0,Lists!$C$19&gt;=SUMIFS('員工更表輸入'!$E$5:$E$39,'員工更表輸入'!$A$5:$A$39,'設定 Settings'!$A$7,'員工更表輸入'!$B$5:$B$39,E$116),Lists!$C$19&lt;SUMIFS('員工更表輸入'!$F$5:$F$39,'員工更表輸入'!$A$5:$A$39,'設定 Settings'!$A$7,'員工更表輸入'!$B$5:$B$39,E$116)),"Break","Work"))</f>
        <v/>
      </c>
      <c r="F134" s="24">
        <f>IF(OR(SUMIFS('員工更表輸入'!$D$5:$D$39,'員工更表輸入'!$A$5:$A$39,'設定 Settings'!$A$7,'員工更表輸入'!$B$5:$B$39,F$116)&lt;=0,Lists!$C$19&lt;SUMIFS('員工更表輸入'!$C$5:$C$39,'員工更表輸入'!$A$5:$A$39,'設定 Settings'!$A$7,'員工更表輸入'!$B$5:$B$39,F$116),Lists!$C$19&gt;=SUMIFS('員工更表輸入'!$D$5:$D$39,'員工更表輸入'!$A$5:$A$39,'設定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Settings'!$A$7,'員工更表輸入'!$B$5:$B$39,F$116)&gt;0,Lists!$C$19&gt;=SUMIFS('員工更表輸入'!$E$5:$E$39,'員工更表輸入'!$A$5:$A$39,'設定 Settings'!$A$7,'員工更表輸入'!$B$5:$B$39,F$116),Lists!$C$19&lt;SUMIFS('員工更表輸入'!$F$5:$F$39,'員工更表輸入'!$A$5:$A$39,'設定 Settings'!$A$7,'員工更表輸入'!$B$5:$B$39,F$116)),"Break","Work"))</f>
        <v/>
      </c>
      <c r="G134" s="24">
        <f>IF(OR(SUMIFS('員工更表輸入'!$D$5:$D$39,'員工更表輸入'!$A$5:$A$39,'設定 Settings'!$A$7,'員工更表輸入'!$B$5:$B$39,G$116)&lt;=0,Lists!$C$19&lt;SUMIFS('員工更表輸入'!$C$5:$C$39,'員工更表輸入'!$A$5:$A$39,'設定 Settings'!$A$7,'員工更表輸入'!$B$5:$B$39,G$116),Lists!$C$19&gt;=SUMIFS('員工更表輸入'!$D$5:$D$39,'員工更表輸入'!$A$5:$A$39,'設定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Settings'!$A$7,'員工更表輸入'!$B$5:$B$39,G$116)&gt;0,Lists!$C$19&gt;=SUMIFS('員工更表輸入'!$E$5:$E$39,'員工更表輸入'!$A$5:$A$39,'設定 Settings'!$A$7,'員工更表輸入'!$B$5:$B$39,G$116),Lists!$C$19&lt;SUMIFS('員工更表輸入'!$F$5:$F$39,'員工更表輸入'!$A$5:$A$39,'設定 Settings'!$A$7,'員工更表輸入'!$B$5:$B$39,G$116)),"Break","Work"))</f>
        <v/>
      </c>
      <c r="H134" s="24">
        <f>IF(OR(SUMIFS('員工更表輸入'!$D$5:$D$39,'員工更表輸入'!$A$5:$A$39,'設定 Settings'!$A$7,'員工更表輸入'!$B$5:$B$39,H$116)&lt;=0,Lists!$C$19&lt;SUMIFS('員工更表輸入'!$C$5:$C$39,'員工更表輸入'!$A$5:$A$39,'設定 Settings'!$A$7,'員工更表輸入'!$B$5:$B$39,H$116),Lists!$C$19&gt;=SUMIFS('員工更表輸入'!$D$5:$D$39,'員工更表輸入'!$A$5:$A$39,'設定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Settings'!$A$7,'員工更表輸入'!$B$5:$B$39,H$116)&gt;0,Lists!$C$19&gt;=SUMIFS('員工更表輸入'!$E$5:$E$39,'員工更表輸入'!$A$5:$A$39,'設定 Settings'!$A$7,'員工更表輸入'!$B$5:$B$39,H$116),Lists!$C$19&lt;SUMIFS('員工更表輸入'!$F$5:$F$39,'員工更表輸入'!$A$5:$A$39,'設定 Settings'!$A$7,'員工更表輸入'!$B$5:$B$39,H$116)),"Break","Work"))</f>
        <v/>
      </c>
    </row>
    <row r="135">
      <c r="A135" s="22" t="inlineStr">
        <is>
          <t>6:45pm-7:15pm</t>
        </is>
      </c>
      <c r="B135" s="24">
        <f>IF(OR(SUMIFS('員工更表輸入'!$D$5:$D$39,'員工更表輸入'!$A$5:$A$39,'設定 Settings'!$A$7,'員工更表輸入'!$B$5:$B$39,B$116)&lt;=0,Lists!$C$20&lt;SUMIFS('員工更表輸入'!$C$5:$C$39,'員工更表輸入'!$A$5:$A$39,'設定 Settings'!$A$7,'員工更表輸入'!$B$5:$B$39,B$116),Lists!$C$20&gt;=SUMIFS('員工更表輸入'!$D$5:$D$39,'員工更表輸入'!$A$5:$A$39,'設定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Settings'!$A$7,'員工更表輸入'!$B$5:$B$39,B$116)&gt;0,Lists!$C$20&gt;=SUMIFS('員工更表輸入'!$E$5:$E$39,'員工更表輸入'!$A$5:$A$39,'設定 Settings'!$A$7,'員工更表輸入'!$B$5:$B$39,B$116),Lists!$C$20&lt;SUMIFS('員工更表輸入'!$F$5:$F$39,'員工更表輸入'!$A$5:$A$39,'設定 Settings'!$A$7,'員工更表輸入'!$B$5:$B$39,B$116)),"Break","Work"))</f>
        <v/>
      </c>
      <c r="C135" s="24">
        <f>IF(OR(SUMIFS('員工更表輸入'!$D$5:$D$39,'員工更表輸入'!$A$5:$A$39,'設定 Settings'!$A$7,'員工更表輸入'!$B$5:$B$39,C$116)&lt;=0,Lists!$C$20&lt;SUMIFS('員工更表輸入'!$C$5:$C$39,'員工更表輸入'!$A$5:$A$39,'設定 Settings'!$A$7,'員工更表輸入'!$B$5:$B$39,C$116),Lists!$C$20&gt;=SUMIFS('員工更表輸入'!$D$5:$D$39,'員工更表輸入'!$A$5:$A$39,'設定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Settings'!$A$7,'員工更表輸入'!$B$5:$B$39,C$116)&gt;0,Lists!$C$20&gt;=SUMIFS('員工更表輸入'!$E$5:$E$39,'員工更表輸入'!$A$5:$A$39,'設定 Settings'!$A$7,'員工更表輸入'!$B$5:$B$39,C$116),Lists!$C$20&lt;SUMIFS('員工更表輸入'!$F$5:$F$39,'員工更表輸入'!$A$5:$A$39,'設定 Settings'!$A$7,'員工更表輸入'!$B$5:$B$39,C$116)),"Break","Work"))</f>
        <v/>
      </c>
      <c r="D135" s="24">
        <f>IF(OR(SUMIFS('員工更表輸入'!$D$5:$D$39,'員工更表輸入'!$A$5:$A$39,'設定 Settings'!$A$7,'員工更表輸入'!$B$5:$B$39,D$116)&lt;=0,Lists!$C$20&lt;SUMIFS('員工更表輸入'!$C$5:$C$39,'員工更表輸入'!$A$5:$A$39,'設定 Settings'!$A$7,'員工更表輸入'!$B$5:$B$39,D$116),Lists!$C$20&gt;=SUMIFS('員工更表輸入'!$D$5:$D$39,'員工更表輸入'!$A$5:$A$39,'設定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Settings'!$A$7,'員工更表輸入'!$B$5:$B$39,D$116)&gt;0,Lists!$C$20&gt;=SUMIFS('員工更表輸入'!$E$5:$E$39,'員工更表輸入'!$A$5:$A$39,'設定 Settings'!$A$7,'員工更表輸入'!$B$5:$B$39,D$116),Lists!$C$20&lt;SUMIFS('員工更表輸入'!$F$5:$F$39,'員工更表輸入'!$A$5:$A$39,'設定 Settings'!$A$7,'員工更表輸入'!$B$5:$B$39,D$116)),"Break","Work"))</f>
        <v/>
      </c>
      <c r="E135" s="24">
        <f>IF(OR(SUMIFS('員工更表輸入'!$D$5:$D$39,'員工更表輸入'!$A$5:$A$39,'設定 Settings'!$A$7,'員工更表輸入'!$B$5:$B$39,E$116)&lt;=0,Lists!$C$20&lt;SUMIFS('員工更表輸入'!$C$5:$C$39,'員工更表輸入'!$A$5:$A$39,'設定 Settings'!$A$7,'員工更表輸入'!$B$5:$B$39,E$116),Lists!$C$20&gt;=SUMIFS('員工更表輸入'!$D$5:$D$39,'員工更表輸入'!$A$5:$A$39,'設定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Settings'!$A$7,'員工更表輸入'!$B$5:$B$39,E$116)&gt;0,Lists!$C$20&gt;=SUMIFS('員工更表輸入'!$E$5:$E$39,'員工更表輸入'!$A$5:$A$39,'設定 Settings'!$A$7,'員工更表輸入'!$B$5:$B$39,E$116),Lists!$C$20&lt;SUMIFS('員工更表輸入'!$F$5:$F$39,'員工更表輸入'!$A$5:$A$39,'設定 Settings'!$A$7,'員工更表輸入'!$B$5:$B$39,E$116)),"Break","Work"))</f>
        <v/>
      </c>
      <c r="F135" s="24">
        <f>IF(OR(SUMIFS('員工更表輸入'!$D$5:$D$39,'員工更表輸入'!$A$5:$A$39,'設定 Settings'!$A$7,'員工更表輸入'!$B$5:$B$39,F$116)&lt;=0,Lists!$C$20&lt;SUMIFS('員工更表輸入'!$C$5:$C$39,'員工更表輸入'!$A$5:$A$39,'設定 Settings'!$A$7,'員工更表輸入'!$B$5:$B$39,F$116),Lists!$C$20&gt;=SUMIFS('員工更表輸入'!$D$5:$D$39,'員工更表輸入'!$A$5:$A$39,'設定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Settings'!$A$7,'員工更表輸入'!$B$5:$B$39,F$116)&gt;0,Lists!$C$20&gt;=SUMIFS('員工更表輸入'!$E$5:$E$39,'員工更表輸入'!$A$5:$A$39,'設定 Settings'!$A$7,'員工更表輸入'!$B$5:$B$39,F$116),Lists!$C$20&lt;SUMIFS('員工更表輸入'!$F$5:$F$39,'員工更表輸入'!$A$5:$A$39,'設定 Settings'!$A$7,'員工更表輸入'!$B$5:$B$39,F$116)),"Break","Work"))</f>
        <v/>
      </c>
      <c r="G135" s="24">
        <f>IF(OR(SUMIFS('員工更表輸入'!$D$5:$D$39,'員工更表輸入'!$A$5:$A$39,'設定 Settings'!$A$7,'員工更表輸入'!$B$5:$B$39,G$116)&lt;=0,Lists!$C$20&lt;SUMIFS('員工更表輸入'!$C$5:$C$39,'員工更表輸入'!$A$5:$A$39,'設定 Settings'!$A$7,'員工更表輸入'!$B$5:$B$39,G$116),Lists!$C$20&gt;=SUMIFS('員工更表輸入'!$D$5:$D$39,'員工更表輸入'!$A$5:$A$39,'設定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Settings'!$A$7,'員工更表輸入'!$B$5:$B$39,G$116)&gt;0,Lists!$C$20&gt;=SUMIFS('員工更表輸入'!$E$5:$E$39,'員工更表輸入'!$A$5:$A$39,'設定 Settings'!$A$7,'員工更表輸入'!$B$5:$B$39,G$116),Lists!$C$20&lt;SUMIFS('員工更表輸入'!$F$5:$F$39,'員工更表輸入'!$A$5:$A$39,'設定 Settings'!$A$7,'員工更表輸入'!$B$5:$B$39,G$116)),"Break","Work"))</f>
        <v/>
      </c>
      <c r="H135" s="24">
        <f>IF(OR(SUMIFS('員工更表輸入'!$D$5:$D$39,'員工更表輸入'!$A$5:$A$39,'設定 Settings'!$A$7,'員工更表輸入'!$B$5:$B$39,H$116)&lt;=0,Lists!$C$20&lt;SUMIFS('員工更表輸入'!$C$5:$C$39,'員工更表輸入'!$A$5:$A$39,'設定 Settings'!$A$7,'員工更表輸入'!$B$5:$B$39,H$116),Lists!$C$20&gt;=SUMIFS('員工更表輸入'!$D$5:$D$39,'員工更表輸入'!$A$5:$A$39,'設定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Settings'!$A$7,'員工更表輸入'!$B$5:$B$39,H$116)&gt;0,Lists!$C$20&gt;=SUMIFS('員工更表輸入'!$E$5:$E$39,'員工更表輸入'!$A$5:$A$39,'設定 Settings'!$A$7,'員工更表輸入'!$B$5:$B$39,H$116),Lists!$C$20&lt;SUMIFS('員工更表輸入'!$F$5:$F$39,'員工更表輸入'!$A$5:$A$39,'設定 Settings'!$A$7,'員工更表輸入'!$B$5:$B$39,H$116)),"Break","Work"))</f>
        <v/>
      </c>
    </row>
    <row r="136">
      <c r="A136" s="22" t="inlineStr">
        <is>
          <t>7:15pm-7:45pm</t>
        </is>
      </c>
      <c r="B136" s="24">
        <f>IF(OR(SUMIFS('員工更表輸入'!$D$5:$D$39,'員工更表輸入'!$A$5:$A$39,'設定 Settings'!$A$7,'員工更表輸入'!$B$5:$B$39,B$116)&lt;=0,Lists!$C$21&lt;SUMIFS('員工更表輸入'!$C$5:$C$39,'員工更表輸入'!$A$5:$A$39,'設定 Settings'!$A$7,'員工更表輸入'!$B$5:$B$39,B$116),Lists!$C$21&gt;=SUMIFS('員工更表輸入'!$D$5:$D$39,'員工更表輸入'!$A$5:$A$39,'設定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Settings'!$A$7,'員工更表輸入'!$B$5:$B$39,B$116)&gt;0,Lists!$C$21&gt;=SUMIFS('員工更表輸入'!$E$5:$E$39,'員工更表輸入'!$A$5:$A$39,'設定 Settings'!$A$7,'員工更表輸入'!$B$5:$B$39,B$116),Lists!$C$21&lt;SUMIFS('員工更表輸入'!$F$5:$F$39,'員工更表輸入'!$A$5:$A$39,'設定 Settings'!$A$7,'員工更表輸入'!$B$5:$B$39,B$116)),"Break","Work"))</f>
        <v/>
      </c>
      <c r="C136" s="24">
        <f>IF(OR(SUMIFS('員工更表輸入'!$D$5:$D$39,'員工更表輸入'!$A$5:$A$39,'設定 Settings'!$A$7,'員工更表輸入'!$B$5:$B$39,C$116)&lt;=0,Lists!$C$21&lt;SUMIFS('員工更表輸入'!$C$5:$C$39,'員工更表輸入'!$A$5:$A$39,'設定 Settings'!$A$7,'員工更表輸入'!$B$5:$B$39,C$116),Lists!$C$21&gt;=SUMIFS('員工更表輸入'!$D$5:$D$39,'員工更表輸入'!$A$5:$A$39,'設定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Settings'!$A$7,'員工更表輸入'!$B$5:$B$39,C$116)&gt;0,Lists!$C$21&gt;=SUMIFS('員工更表輸入'!$E$5:$E$39,'員工更表輸入'!$A$5:$A$39,'設定 Settings'!$A$7,'員工更表輸入'!$B$5:$B$39,C$116),Lists!$C$21&lt;SUMIFS('員工更表輸入'!$F$5:$F$39,'員工更表輸入'!$A$5:$A$39,'設定 Settings'!$A$7,'員工更表輸入'!$B$5:$B$39,C$116)),"Break","Work"))</f>
        <v/>
      </c>
      <c r="D136" s="24">
        <f>IF(OR(SUMIFS('員工更表輸入'!$D$5:$D$39,'員工更表輸入'!$A$5:$A$39,'設定 Settings'!$A$7,'員工更表輸入'!$B$5:$B$39,D$116)&lt;=0,Lists!$C$21&lt;SUMIFS('員工更表輸入'!$C$5:$C$39,'員工更表輸入'!$A$5:$A$39,'設定 Settings'!$A$7,'員工更表輸入'!$B$5:$B$39,D$116),Lists!$C$21&gt;=SUMIFS('員工更表輸入'!$D$5:$D$39,'員工更表輸入'!$A$5:$A$39,'設定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Settings'!$A$7,'員工更表輸入'!$B$5:$B$39,D$116)&gt;0,Lists!$C$21&gt;=SUMIFS('員工更表輸入'!$E$5:$E$39,'員工更表輸入'!$A$5:$A$39,'設定 Settings'!$A$7,'員工更表輸入'!$B$5:$B$39,D$116),Lists!$C$21&lt;SUMIFS('員工更表輸入'!$F$5:$F$39,'員工更表輸入'!$A$5:$A$39,'設定 Settings'!$A$7,'員工更表輸入'!$B$5:$B$39,D$116)),"Break","Work"))</f>
        <v/>
      </c>
      <c r="E136" s="24">
        <f>IF(OR(SUMIFS('員工更表輸入'!$D$5:$D$39,'員工更表輸入'!$A$5:$A$39,'設定 Settings'!$A$7,'員工更表輸入'!$B$5:$B$39,E$116)&lt;=0,Lists!$C$21&lt;SUMIFS('員工更表輸入'!$C$5:$C$39,'員工更表輸入'!$A$5:$A$39,'設定 Settings'!$A$7,'員工更表輸入'!$B$5:$B$39,E$116),Lists!$C$21&gt;=SUMIFS('員工更表輸入'!$D$5:$D$39,'員工更表輸入'!$A$5:$A$39,'設定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Settings'!$A$7,'員工更表輸入'!$B$5:$B$39,E$116)&gt;0,Lists!$C$21&gt;=SUMIFS('員工更表輸入'!$E$5:$E$39,'員工更表輸入'!$A$5:$A$39,'設定 Settings'!$A$7,'員工更表輸入'!$B$5:$B$39,E$116),Lists!$C$21&lt;SUMIFS('員工更表輸入'!$F$5:$F$39,'員工更表輸入'!$A$5:$A$39,'設定 Settings'!$A$7,'員工更表輸入'!$B$5:$B$39,E$116)),"Break","Work"))</f>
        <v/>
      </c>
      <c r="F136" s="24">
        <f>IF(OR(SUMIFS('員工更表輸入'!$D$5:$D$39,'員工更表輸入'!$A$5:$A$39,'設定 Settings'!$A$7,'員工更表輸入'!$B$5:$B$39,F$116)&lt;=0,Lists!$C$21&lt;SUMIFS('員工更表輸入'!$C$5:$C$39,'員工更表輸入'!$A$5:$A$39,'設定 Settings'!$A$7,'員工更表輸入'!$B$5:$B$39,F$116),Lists!$C$21&gt;=SUMIFS('員工更表輸入'!$D$5:$D$39,'員工更表輸入'!$A$5:$A$39,'設定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Settings'!$A$7,'員工更表輸入'!$B$5:$B$39,F$116)&gt;0,Lists!$C$21&gt;=SUMIFS('員工更表輸入'!$E$5:$E$39,'員工更表輸入'!$A$5:$A$39,'設定 Settings'!$A$7,'員工更表輸入'!$B$5:$B$39,F$116),Lists!$C$21&lt;SUMIFS('員工更表輸入'!$F$5:$F$39,'員工更表輸入'!$A$5:$A$39,'設定 Settings'!$A$7,'員工更表輸入'!$B$5:$B$39,F$116)),"Break","Work"))</f>
        <v/>
      </c>
      <c r="G136" s="24">
        <f>IF(OR(SUMIFS('員工更表輸入'!$D$5:$D$39,'員工更表輸入'!$A$5:$A$39,'設定 Settings'!$A$7,'員工更表輸入'!$B$5:$B$39,G$116)&lt;=0,Lists!$C$21&lt;SUMIFS('員工更表輸入'!$C$5:$C$39,'員工更表輸入'!$A$5:$A$39,'設定 Settings'!$A$7,'員工更表輸入'!$B$5:$B$39,G$116),Lists!$C$21&gt;=SUMIFS('員工更表輸入'!$D$5:$D$39,'員工更表輸入'!$A$5:$A$39,'設定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Settings'!$A$7,'員工更表輸入'!$B$5:$B$39,G$116)&gt;0,Lists!$C$21&gt;=SUMIFS('員工更表輸入'!$E$5:$E$39,'員工更表輸入'!$A$5:$A$39,'設定 Settings'!$A$7,'員工更表輸入'!$B$5:$B$39,G$116),Lists!$C$21&lt;SUMIFS('員工更表輸入'!$F$5:$F$39,'員工更表輸入'!$A$5:$A$39,'設定 Settings'!$A$7,'員工更表輸入'!$B$5:$B$39,G$116)),"Break","Work"))</f>
        <v/>
      </c>
      <c r="H136" s="24">
        <f>IF(OR(SUMIFS('員工更表輸入'!$D$5:$D$39,'員工更表輸入'!$A$5:$A$39,'設定 Settings'!$A$7,'員工更表輸入'!$B$5:$B$39,H$116)&lt;=0,Lists!$C$21&lt;SUMIFS('員工更表輸入'!$C$5:$C$39,'員工更表輸入'!$A$5:$A$39,'設定 Settings'!$A$7,'員工更表輸入'!$B$5:$B$39,H$116),Lists!$C$21&gt;=SUMIFS('員工更表輸入'!$D$5:$D$39,'員工更表輸入'!$A$5:$A$39,'設定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Settings'!$A$7,'員工更表輸入'!$B$5:$B$39,H$116)&gt;0,Lists!$C$21&gt;=SUMIFS('員工更表輸入'!$E$5:$E$39,'員工更表輸入'!$A$5:$A$39,'設定 Settings'!$A$7,'員工更表輸入'!$B$5:$B$39,H$116),Lists!$C$21&lt;SUMIFS('員工更表輸入'!$F$5:$F$39,'員工更表輸入'!$A$5:$A$39,'設定 Settings'!$A$7,'員工更表輸入'!$B$5:$B$39,H$116)),"Break","Work"))</f>
        <v/>
      </c>
    </row>
    <row r="137">
      <c r="A137" s="22" t="inlineStr">
        <is>
          <t>7:45pm-8:15pm</t>
        </is>
      </c>
      <c r="B137" s="24">
        <f>IF(OR(SUMIFS('員工更表輸入'!$D$5:$D$39,'員工更表輸入'!$A$5:$A$39,'設定 Settings'!$A$7,'員工更表輸入'!$B$5:$B$39,B$116)&lt;=0,Lists!$C$22&lt;SUMIFS('員工更表輸入'!$C$5:$C$39,'員工更表輸入'!$A$5:$A$39,'設定 Settings'!$A$7,'員工更表輸入'!$B$5:$B$39,B$116),Lists!$C$22&gt;=SUMIFS('員工更表輸入'!$D$5:$D$39,'員工更表輸入'!$A$5:$A$39,'設定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Settings'!$A$7,'員工更表輸入'!$B$5:$B$39,B$116)&gt;0,Lists!$C$22&gt;=SUMIFS('員工更表輸入'!$E$5:$E$39,'員工更表輸入'!$A$5:$A$39,'設定 Settings'!$A$7,'員工更表輸入'!$B$5:$B$39,B$116),Lists!$C$22&lt;SUMIFS('員工更表輸入'!$F$5:$F$39,'員工更表輸入'!$A$5:$A$39,'設定 Settings'!$A$7,'員工更表輸入'!$B$5:$B$39,B$116)),"Break","Work"))</f>
        <v/>
      </c>
      <c r="C137" s="24">
        <f>IF(OR(SUMIFS('員工更表輸入'!$D$5:$D$39,'員工更表輸入'!$A$5:$A$39,'設定 Settings'!$A$7,'員工更表輸入'!$B$5:$B$39,C$116)&lt;=0,Lists!$C$22&lt;SUMIFS('員工更表輸入'!$C$5:$C$39,'員工更表輸入'!$A$5:$A$39,'設定 Settings'!$A$7,'員工更表輸入'!$B$5:$B$39,C$116),Lists!$C$22&gt;=SUMIFS('員工更表輸入'!$D$5:$D$39,'員工更表輸入'!$A$5:$A$39,'設定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Settings'!$A$7,'員工更表輸入'!$B$5:$B$39,C$116)&gt;0,Lists!$C$22&gt;=SUMIFS('員工更表輸入'!$E$5:$E$39,'員工更表輸入'!$A$5:$A$39,'設定 Settings'!$A$7,'員工更表輸入'!$B$5:$B$39,C$116),Lists!$C$22&lt;SUMIFS('員工更表輸入'!$F$5:$F$39,'員工更表輸入'!$A$5:$A$39,'設定 Settings'!$A$7,'員工更表輸入'!$B$5:$B$39,C$116)),"Break","Work"))</f>
        <v/>
      </c>
      <c r="D137" s="24">
        <f>IF(OR(SUMIFS('員工更表輸入'!$D$5:$D$39,'員工更表輸入'!$A$5:$A$39,'設定 Settings'!$A$7,'員工更表輸入'!$B$5:$B$39,D$116)&lt;=0,Lists!$C$22&lt;SUMIFS('員工更表輸入'!$C$5:$C$39,'員工更表輸入'!$A$5:$A$39,'設定 Settings'!$A$7,'員工更表輸入'!$B$5:$B$39,D$116),Lists!$C$22&gt;=SUMIFS('員工更表輸入'!$D$5:$D$39,'員工更表輸入'!$A$5:$A$39,'設定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Settings'!$A$7,'員工更表輸入'!$B$5:$B$39,D$116)&gt;0,Lists!$C$22&gt;=SUMIFS('員工更表輸入'!$E$5:$E$39,'員工更表輸入'!$A$5:$A$39,'設定 Settings'!$A$7,'員工更表輸入'!$B$5:$B$39,D$116),Lists!$C$22&lt;SUMIFS('員工更表輸入'!$F$5:$F$39,'員工更表輸入'!$A$5:$A$39,'設定 Settings'!$A$7,'員工更表輸入'!$B$5:$B$39,D$116)),"Break","Work"))</f>
        <v/>
      </c>
      <c r="E137" s="24">
        <f>IF(OR(SUMIFS('員工更表輸入'!$D$5:$D$39,'員工更表輸入'!$A$5:$A$39,'設定 Settings'!$A$7,'員工更表輸入'!$B$5:$B$39,E$116)&lt;=0,Lists!$C$22&lt;SUMIFS('員工更表輸入'!$C$5:$C$39,'員工更表輸入'!$A$5:$A$39,'設定 Settings'!$A$7,'員工更表輸入'!$B$5:$B$39,E$116),Lists!$C$22&gt;=SUMIFS('員工更表輸入'!$D$5:$D$39,'員工更表輸入'!$A$5:$A$39,'設定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Settings'!$A$7,'員工更表輸入'!$B$5:$B$39,E$116)&gt;0,Lists!$C$22&gt;=SUMIFS('員工更表輸入'!$E$5:$E$39,'員工更表輸入'!$A$5:$A$39,'設定 Settings'!$A$7,'員工更表輸入'!$B$5:$B$39,E$116),Lists!$C$22&lt;SUMIFS('員工更表輸入'!$F$5:$F$39,'員工更表輸入'!$A$5:$A$39,'設定 Settings'!$A$7,'員工更表輸入'!$B$5:$B$39,E$116)),"Break","Work"))</f>
        <v/>
      </c>
      <c r="F137" s="24">
        <f>IF(OR(SUMIFS('員工更表輸入'!$D$5:$D$39,'員工更表輸入'!$A$5:$A$39,'設定 Settings'!$A$7,'員工更表輸入'!$B$5:$B$39,F$116)&lt;=0,Lists!$C$22&lt;SUMIFS('員工更表輸入'!$C$5:$C$39,'員工更表輸入'!$A$5:$A$39,'設定 Settings'!$A$7,'員工更表輸入'!$B$5:$B$39,F$116),Lists!$C$22&gt;=SUMIFS('員工更表輸入'!$D$5:$D$39,'員工更表輸入'!$A$5:$A$39,'設定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Settings'!$A$7,'員工更表輸入'!$B$5:$B$39,F$116)&gt;0,Lists!$C$22&gt;=SUMIFS('員工更表輸入'!$E$5:$E$39,'員工更表輸入'!$A$5:$A$39,'設定 Settings'!$A$7,'員工更表輸入'!$B$5:$B$39,F$116),Lists!$C$22&lt;SUMIFS('員工更表輸入'!$F$5:$F$39,'員工更表輸入'!$A$5:$A$39,'設定 Settings'!$A$7,'員工更表輸入'!$B$5:$B$39,F$116)),"Break","Work"))</f>
        <v/>
      </c>
      <c r="G137" s="24">
        <f>IF(OR(SUMIFS('員工更表輸入'!$D$5:$D$39,'員工更表輸入'!$A$5:$A$39,'設定 Settings'!$A$7,'員工更表輸入'!$B$5:$B$39,G$116)&lt;=0,Lists!$C$22&lt;SUMIFS('員工更表輸入'!$C$5:$C$39,'員工更表輸入'!$A$5:$A$39,'設定 Settings'!$A$7,'員工更表輸入'!$B$5:$B$39,G$116),Lists!$C$22&gt;=SUMIFS('員工更表輸入'!$D$5:$D$39,'員工更表輸入'!$A$5:$A$39,'設定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Settings'!$A$7,'員工更表輸入'!$B$5:$B$39,G$116)&gt;0,Lists!$C$22&gt;=SUMIFS('員工更表輸入'!$E$5:$E$39,'員工更表輸入'!$A$5:$A$39,'設定 Settings'!$A$7,'員工更表輸入'!$B$5:$B$39,G$116),Lists!$C$22&lt;SUMIFS('員工更表輸入'!$F$5:$F$39,'員工更表輸入'!$A$5:$A$39,'設定 Settings'!$A$7,'員工更表輸入'!$B$5:$B$39,G$116)),"Break","Work"))</f>
        <v/>
      </c>
      <c r="H137" s="24">
        <f>IF(OR(SUMIFS('員工更表輸入'!$D$5:$D$39,'員工更表輸入'!$A$5:$A$39,'設定 Settings'!$A$7,'員工更表輸入'!$B$5:$B$39,H$116)&lt;=0,Lists!$C$22&lt;SUMIFS('員工更表輸入'!$C$5:$C$39,'員工更表輸入'!$A$5:$A$39,'設定 Settings'!$A$7,'員工更表輸入'!$B$5:$B$39,H$116),Lists!$C$22&gt;=SUMIFS('員工更表輸入'!$D$5:$D$39,'員工更表輸入'!$A$5:$A$39,'設定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Settings'!$A$7,'員工更表輸入'!$B$5:$B$39,H$116)&gt;0,Lists!$C$22&gt;=SUMIFS('員工更表輸入'!$E$5:$E$39,'員工更表輸入'!$A$5:$A$39,'設定 Settings'!$A$7,'員工更表輸入'!$B$5:$B$39,H$116),Lists!$C$22&lt;SUMIFS('員工更表輸入'!$F$5:$F$39,'員工更表輸入'!$A$5:$A$39,'設定 Settings'!$A$7,'員工更表輸入'!$B$5:$B$39,H$116)),"Break","Work"))</f>
        <v/>
      </c>
    </row>
    <row r="138">
      <c r="A138" s="22" t="inlineStr">
        <is>
          <t>8:15pm-8:45pm</t>
        </is>
      </c>
      <c r="B138" s="24">
        <f>IF(OR(SUMIFS('員工更表輸入'!$D$5:$D$39,'員工更表輸入'!$A$5:$A$39,'設定 Settings'!$A$7,'員工更表輸入'!$B$5:$B$39,B$116)&lt;=0,Lists!$C$23&lt;SUMIFS('員工更表輸入'!$C$5:$C$39,'員工更表輸入'!$A$5:$A$39,'設定 Settings'!$A$7,'員工更表輸入'!$B$5:$B$39,B$116),Lists!$C$23&gt;=SUMIFS('員工更表輸入'!$D$5:$D$39,'員工更表輸入'!$A$5:$A$39,'設定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Settings'!$A$7,'員工更表輸入'!$B$5:$B$39,B$116)&gt;0,Lists!$C$23&gt;=SUMIFS('員工更表輸入'!$E$5:$E$39,'員工更表輸入'!$A$5:$A$39,'設定 Settings'!$A$7,'員工更表輸入'!$B$5:$B$39,B$116),Lists!$C$23&lt;SUMIFS('員工更表輸入'!$F$5:$F$39,'員工更表輸入'!$A$5:$A$39,'設定 Settings'!$A$7,'員工更表輸入'!$B$5:$B$39,B$116)),"Break","Work"))</f>
        <v/>
      </c>
      <c r="C138" s="24">
        <f>IF(OR(SUMIFS('員工更表輸入'!$D$5:$D$39,'員工更表輸入'!$A$5:$A$39,'設定 Settings'!$A$7,'員工更表輸入'!$B$5:$B$39,C$116)&lt;=0,Lists!$C$23&lt;SUMIFS('員工更表輸入'!$C$5:$C$39,'員工更表輸入'!$A$5:$A$39,'設定 Settings'!$A$7,'員工更表輸入'!$B$5:$B$39,C$116),Lists!$C$23&gt;=SUMIFS('員工更表輸入'!$D$5:$D$39,'員工更表輸入'!$A$5:$A$39,'設定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Settings'!$A$7,'員工更表輸入'!$B$5:$B$39,C$116)&gt;0,Lists!$C$23&gt;=SUMIFS('員工更表輸入'!$E$5:$E$39,'員工更表輸入'!$A$5:$A$39,'設定 Settings'!$A$7,'員工更表輸入'!$B$5:$B$39,C$116),Lists!$C$23&lt;SUMIFS('員工更表輸入'!$F$5:$F$39,'員工更表輸入'!$A$5:$A$39,'設定 Settings'!$A$7,'員工更表輸入'!$B$5:$B$39,C$116)),"Break","Work"))</f>
        <v/>
      </c>
      <c r="D138" s="24">
        <f>IF(OR(SUMIFS('員工更表輸入'!$D$5:$D$39,'員工更表輸入'!$A$5:$A$39,'設定 Settings'!$A$7,'員工更表輸入'!$B$5:$B$39,D$116)&lt;=0,Lists!$C$23&lt;SUMIFS('員工更表輸入'!$C$5:$C$39,'員工更表輸入'!$A$5:$A$39,'設定 Settings'!$A$7,'員工更表輸入'!$B$5:$B$39,D$116),Lists!$C$23&gt;=SUMIFS('員工更表輸入'!$D$5:$D$39,'員工更表輸入'!$A$5:$A$39,'設定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Settings'!$A$7,'員工更表輸入'!$B$5:$B$39,D$116)&gt;0,Lists!$C$23&gt;=SUMIFS('員工更表輸入'!$E$5:$E$39,'員工更表輸入'!$A$5:$A$39,'設定 Settings'!$A$7,'員工更表輸入'!$B$5:$B$39,D$116),Lists!$C$23&lt;SUMIFS('員工更表輸入'!$F$5:$F$39,'員工更表輸入'!$A$5:$A$39,'設定 Settings'!$A$7,'員工更表輸入'!$B$5:$B$39,D$116)),"Break","Work"))</f>
        <v/>
      </c>
      <c r="E138" s="24">
        <f>IF(OR(SUMIFS('員工更表輸入'!$D$5:$D$39,'員工更表輸入'!$A$5:$A$39,'設定 Settings'!$A$7,'員工更表輸入'!$B$5:$B$39,E$116)&lt;=0,Lists!$C$23&lt;SUMIFS('員工更表輸入'!$C$5:$C$39,'員工更表輸入'!$A$5:$A$39,'設定 Settings'!$A$7,'員工更表輸入'!$B$5:$B$39,E$116),Lists!$C$23&gt;=SUMIFS('員工更表輸入'!$D$5:$D$39,'員工更表輸入'!$A$5:$A$39,'設定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Settings'!$A$7,'員工更表輸入'!$B$5:$B$39,E$116)&gt;0,Lists!$C$23&gt;=SUMIFS('員工更表輸入'!$E$5:$E$39,'員工更表輸入'!$A$5:$A$39,'設定 Settings'!$A$7,'員工更表輸入'!$B$5:$B$39,E$116),Lists!$C$23&lt;SUMIFS('員工更表輸入'!$F$5:$F$39,'員工更表輸入'!$A$5:$A$39,'設定 Settings'!$A$7,'員工更表輸入'!$B$5:$B$39,E$116)),"Break","Work"))</f>
        <v/>
      </c>
      <c r="F138" s="24">
        <f>IF(OR(SUMIFS('員工更表輸入'!$D$5:$D$39,'員工更表輸入'!$A$5:$A$39,'設定 Settings'!$A$7,'員工更表輸入'!$B$5:$B$39,F$116)&lt;=0,Lists!$C$23&lt;SUMIFS('員工更表輸入'!$C$5:$C$39,'員工更表輸入'!$A$5:$A$39,'設定 Settings'!$A$7,'員工更表輸入'!$B$5:$B$39,F$116),Lists!$C$23&gt;=SUMIFS('員工更表輸入'!$D$5:$D$39,'員工更表輸入'!$A$5:$A$39,'設定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Settings'!$A$7,'員工更表輸入'!$B$5:$B$39,F$116)&gt;0,Lists!$C$23&gt;=SUMIFS('員工更表輸入'!$E$5:$E$39,'員工更表輸入'!$A$5:$A$39,'設定 Settings'!$A$7,'員工更表輸入'!$B$5:$B$39,F$116),Lists!$C$23&lt;SUMIFS('員工更表輸入'!$F$5:$F$39,'員工更表輸入'!$A$5:$A$39,'設定 Settings'!$A$7,'員工更表輸入'!$B$5:$B$39,F$116)),"Break","Work"))</f>
        <v/>
      </c>
      <c r="G138" s="24">
        <f>IF(OR(SUMIFS('員工更表輸入'!$D$5:$D$39,'員工更表輸入'!$A$5:$A$39,'設定 Settings'!$A$7,'員工更表輸入'!$B$5:$B$39,G$116)&lt;=0,Lists!$C$23&lt;SUMIFS('員工更表輸入'!$C$5:$C$39,'員工更表輸入'!$A$5:$A$39,'設定 Settings'!$A$7,'員工更表輸入'!$B$5:$B$39,G$116),Lists!$C$23&gt;=SUMIFS('員工更表輸入'!$D$5:$D$39,'員工更表輸入'!$A$5:$A$39,'設定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Settings'!$A$7,'員工更表輸入'!$B$5:$B$39,G$116)&gt;0,Lists!$C$23&gt;=SUMIFS('員工更表輸入'!$E$5:$E$39,'員工更表輸入'!$A$5:$A$39,'設定 Settings'!$A$7,'員工更表輸入'!$B$5:$B$39,G$116),Lists!$C$23&lt;SUMIFS('員工更表輸入'!$F$5:$F$39,'員工更表輸入'!$A$5:$A$39,'設定 Settings'!$A$7,'員工更表輸入'!$B$5:$B$39,G$116)),"Break","Work"))</f>
        <v/>
      </c>
      <c r="H138" s="24">
        <f>IF(OR(SUMIFS('員工更表輸入'!$D$5:$D$39,'員工更表輸入'!$A$5:$A$39,'設定 Settings'!$A$7,'員工更表輸入'!$B$5:$B$39,H$116)&lt;=0,Lists!$C$23&lt;SUMIFS('員工更表輸入'!$C$5:$C$39,'員工更表輸入'!$A$5:$A$39,'設定 Settings'!$A$7,'員工更表輸入'!$B$5:$B$39,H$116),Lists!$C$23&gt;=SUMIFS('員工更表輸入'!$D$5:$D$39,'員工更表輸入'!$A$5:$A$39,'設定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Settings'!$A$7,'員工更表輸入'!$B$5:$B$39,H$116)&gt;0,Lists!$C$23&gt;=SUMIFS('員工更表輸入'!$E$5:$E$39,'員工更表輸入'!$A$5:$A$39,'設定 Settings'!$A$7,'員工更表輸入'!$B$5:$B$39,H$116),Lists!$C$23&lt;SUMIFS('員工更表輸入'!$F$5:$F$39,'員工更表輸入'!$A$5:$A$39,'設定 Settings'!$A$7,'員工更表輸入'!$B$5:$B$39,H$116)),"Break","Work"))</f>
        <v/>
      </c>
    </row>
    <row r="139">
      <c r="A139" s="22" t="inlineStr">
        <is>
          <t>8:45pm-9:15pm</t>
        </is>
      </c>
      <c r="B139" s="24">
        <f>IF(OR(SUMIFS('員工更表輸入'!$D$5:$D$39,'員工更表輸入'!$A$5:$A$39,'設定 Settings'!$A$7,'員工更表輸入'!$B$5:$B$39,B$116)&lt;=0,Lists!$C$24&lt;SUMIFS('員工更表輸入'!$C$5:$C$39,'員工更表輸入'!$A$5:$A$39,'設定 Settings'!$A$7,'員工更表輸入'!$B$5:$B$39,B$116),Lists!$C$24&gt;=SUMIFS('員工更表輸入'!$D$5:$D$39,'員工更表輸入'!$A$5:$A$39,'設定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Settings'!$A$7,'員工更表輸入'!$B$5:$B$39,B$116)&gt;0,Lists!$C$24&gt;=SUMIFS('員工更表輸入'!$E$5:$E$39,'員工更表輸入'!$A$5:$A$39,'設定 Settings'!$A$7,'員工更表輸入'!$B$5:$B$39,B$116),Lists!$C$24&lt;SUMIFS('員工更表輸入'!$F$5:$F$39,'員工更表輸入'!$A$5:$A$39,'設定 Settings'!$A$7,'員工更表輸入'!$B$5:$B$39,B$116)),"Break","Work"))</f>
        <v/>
      </c>
      <c r="C139" s="24">
        <f>IF(OR(SUMIFS('員工更表輸入'!$D$5:$D$39,'員工更表輸入'!$A$5:$A$39,'設定 Settings'!$A$7,'員工更表輸入'!$B$5:$B$39,C$116)&lt;=0,Lists!$C$24&lt;SUMIFS('員工更表輸入'!$C$5:$C$39,'員工更表輸入'!$A$5:$A$39,'設定 Settings'!$A$7,'員工更表輸入'!$B$5:$B$39,C$116),Lists!$C$24&gt;=SUMIFS('員工更表輸入'!$D$5:$D$39,'員工更表輸入'!$A$5:$A$39,'設定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Settings'!$A$7,'員工更表輸入'!$B$5:$B$39,C$116)&gt;0,Lists!$C$24&gt;=SUMIFS('員工更表輸入'!$E$5:$E$39,'員工更表輸入'!$A$5:$A$39,'設定 Settings'!$A$7,'員工更表輸入'!$B$5:$B$39,C$116),Lists!$C$24&lt;SUMIFS('員工更表輸入'!$F$5:$F$39,'員工更表輸入'!$A$5:$A$39,'設定 Settings'!$A$7,'員工更表輸入'!$B$5:$B$39,C$116)),"Break","Work"))</f>
        <v/>
      </c>
      <c r="D139" s="24">
        <f>IF(OR(SUMIFS('員工更表輸入'!$D$5:$D$39,'員工更表輸入'!$A$5:$A$39,'設定 Settings'!$A$7,'員工更表輸入'!$B$5:$B$39,D$116)&lt;=0,Lists!$C$24&lt;SUMIFS('員工更表輸入'!$C$5:$C$39,'員工更表輸入'!$A$5:$A$39,'設定 Settings'!$A$7,'員工更表輸入'!$B$5:$B$39,D$116),Lists!$C$24&gt;=SUMIFS('員工更表輸入'!$D$5:$D$39,'員工更表輸入'!$A$5:$A$39,'設定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Settings'!$A$7,'員工更表輸入'!$B$5:$B$39,D$116)&gt;0,Lists!$C$24&gt;=SUMIFS('員工更表輸入'!$E$5:$E$39,'員工更表輸入'!$A$5:$A$39,'設定 Settings'!$A$7,'員工更表輸入'!$B$5:$B$39,D$116),Lists!$C$24&lt;SUMIFS('員工更表輸入'!$F$5:$F$39,'員工更表輸入'!$A$5:$A$39,'設定 Settings'!$A$7,'員工更表輸入'!$B$5:$B$39,D$116)),"Break","Work"))</f>
        <v/>
      </c>
      <c r="E139" s="24">
        <f>IF(OR(SUMIFS('員工更表輸入'!$D$5:$D$39,'員工更表輸入'!$A$5:$A$39,'設定 Settings'!$A$7,'員工更表輸入'!$B$5:$B$39,E$116)&lt;=0,Lists!$C$24&lt;SUMIFS('員工更表輸入'!$C$5:$C$39,'員工更表輸入'!$A$5:$A$39,'設定 Settings'!$A$7,'員工更表輸入'!$B$5:$B$39,E$116),Lists!$C$24&gt;=SUMIFS('員工更表輸入'!$D$5:$D$39,'員工更表輸入'!$A$5:$A$39,'設定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Settings'!$A$7,'員工更表輸入'!$B$5:$B$39,E$116)&gt;0,Lists!$C$24&gt;=SUMIFS('員工更表輸入'!$E$5:$E$39,'員工更表輸入'!$A$5:$A$39,'設定 Settings'!$A$7,'員工更表輸入'!$B$5:$B$39,E$116),Lists!$C$24&lt;SUMIFS('員工更表輸入'!$F$5:$F$39,'員工更表輸入'!$A$5:$A$39,'設定 Settings'!$A$7,'員工更表輸入'!$B$5:$B$39,E$116)),"Break","Work"))</f>
        <v/>
      </c>
      <c r="F139" s="24">
        <f>IF(OR(SUMIFS('員工更表輸入'!$D$5:$D$39,'員工更表輸入'!$A$5:$A$39,'設定 Settings'!$A$7,'員工更表輸入'!$B$5:$B$39,F$116)&lt;=0,Lists!$C$24&lt;SUMIFS('員工更表輸入'!$C$5:$C$39,'員工更表輸入'!$A$5:$A$39,'設定 Settings'!$A$7,'員工更表輸入'!$B$5:$B$39,F$116),Lists!$C$24&gt;=SUMIFS('員工更表輸入'!$D$5:$D$39,'員工更表輸入'!$A$5:$A$39,'設定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Settings'!$A$7,'員工更表輸入'!$B$5:$B$39,F$116)&gt;0,Lists!$C$24&gt;=SUMIFS('員工更表輸入'!$E$5:$E$39,'員工更表輸入'!$A$5:$A$39,'設定 Settings'!$A$7,'員工更表輸入'!$B$5:$B$39,F$116),Lists!$C$24&lt;SUMIFS('員工更表輸入'!$F$5:$F$39,'員工更表輸入'!$A$5:$A$39,'設定 Settings'!$A$7,'員工更表輸入'!$B$5:$B$39,F$116)),"Break","Work"))</f>
        <v/>
      </c>
      <c r="G139" s="24">
        <f>IF(OR(SUMIFS('員工更表輸入'!$D$5:$D$39,'員工更表輸入'!$A$5:$A$39,'設定 Settings'!$A$7,'員工更表輸入'!$B$5:$B$39,G$116)&lt;=0,Lists!$C$24&lt;SUMIFS('員工更表輸入'!$C$5:$C$39,'員工更表輸入'!$A$5:$A$39,'設定 Settings'!$A$7,'員工更表輸入'!$B$5:$B$39,G$116),Lists!$C$24&gt;=SUMIFS('員工更表輸入'!$D$5:$D$39,'員工更表輸入'!$A$5:$A$39,'設定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Settings'!$A$7,'員工更表輸入'!$B$5:$B$39,G$116)&gt;0,Lists!$C$24&gt;=SUMIFS('員工更表輸入'!$E$5:$E$39,'員工更表輸入'!$A$5:$A$39,'設定 Settings'!$A$7,'員工更表輸入'!$B$5:$B$39,G$116),Lists!$C$24&lt;SUMIFS('員工更表輸入'!$F$5:$F$39,'員工更表輸入'!$A$5:$A$39,'設定 Settings'!$A$7,'員工更表輸入'!$B$5:$B$39,G$116)),"Break","Work"))</f>
        <v/>
      </c>
      <c r="H139" s="24">
        <f>IF(OR(SUMIFS('員工更表輸入'!$D$5:$D$39,'員工更表輸入'!$A$5:$A$39,'設定 Settings'!$A$7,'員工更表輸入'!$B$5:$B$39,H$116)&lt;=0,Lists!$C$24&lt;SUMIFS('員工更表輸入'!$C$5:$C$39,'員工更表輸入'!$A$5:$A$39,'設定 Settings'!$A$7,'員工更表輸入'!$B$5:$B$39,H$116),Lists!$C$24&gt;=SUMIFS('員工更表輸入'!$D$5:$D$39,'員工更表輸入'!$A$5:$A$39,'設定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Settings'!$A$7,'員工更表輸入'!$B$5:$B$39,H$116)&gt;0,Lists!$C$24&gt;=SUMIFS('員工更表輸入'!$E$5:$E$39,'員工更表輸入'!$A$5:$A$39,'設定 Settings'!$A$7,'員工更表輸入'!$B$5:$B$39,H$116),Lists!$C$24&lt;SUMIFS('員工更表輸入'!$F$5:$F$39,'員工更表輸入'!$A$5:$A$39,'設定 Settings'!$A$7,'員工更表輸入'!$B$5:$B$39,H$116)),"Break","Work"))</f>
        <v/>
      </c>
    </row>
    <row r="140">
      <c r="A140" s="22" t="inlineStr">
        <is>
          <t>9:15pm-9:45pm</t>
        </is>
      </c>
      <c r="B140" s="24">
        <f>IF(OR(SUMIFS('員工更表輸入'!$D$5:$D$39,'員工更表輸入'!$A$5:$A$39,'設定 Settings'!$A$7,'員工更表輸入'!$B$5:$B$39,B$116)&lt;=0,Lists!$C$25&lt;SUMIFS('員工更表輸入'!$C$5:$C$39,'員工更表輸入'!$A$5:$A$39,'設定 Settings'!$A$7,'員工更表輸入'!$B$5:$B$39,B$116),Lists!$C$25&gt;=SUMIFS('員工更表輸入'!$D$5:$D$39,'員工更表輸入'!$A$5:$A$39,'設定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Settings'!$A$7,'員工更表輸入'!$B$5:$B$39,B$116)&gt;0,Lists!$C$25&gt;=SUMIFS('員工更表輸入'!$E$5:$E$39,'員工更表輸入'!$A$5:$A$39,'設定 Settings'!$A$7,'員工更表輸入'!$B$5:$B$39,B$116),Lists!$C$25&lt;SUMIFS('員工更表輸入'!$F$5:$F$39,'員工更表輸入'!$A$5:$A$39,'設定 Settings'!$A$7,'員工更表輸入'!$B$5:$B$39,B$116)),"Break","Work"))</f>
        <v/>
      </c>
      <c r="C140" s="24">
        <f>IF(OR(SUMIFS('員工更表輸入'!$D$5:$D$39,'員工更表輸入'!$A$5:$A$39,'設定 Settings'!$A$7,'員工更表輸入'!$B$5:$B$39,C$116)&lt;=0,Lists!$C$25&lt;SUMIFS('員工更表輸入'!$C$5:$C$39,'員工更表輸入'!$A$5:$A$39,'設定 Settings'!$A$7,'員工更表輸入'!$B$5:$B$39,C$116),Lists!$C$25&gt;=SUMIFS('員工更表輸入'!$D$5:$D$39,'員工更表輸入'!$A$5:$A$39,'設定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Settings'!$A$7,'員工更表輸入'!$B$5:$B$39,C$116)&gt;0,Lists!$C$25&gt;=SUMIFS('員工更表輸入'!$E$5:$E$39,'員工更表輸入'!$A$5:$A$39,'設定 Settings'!$A$7,'員工更表輸入'!$B$5:$B$39,C$116),Lists!$C$25&lt;SUMIFS('員工更表輸入'!$F$5:$F$39,'員工更表輸入'!$A$5:$A$39,'設定 Settings'!$A$7,'員工更表輸入'!$B$5:$B$39,C$116)),"Break","Work"))</f>
        <v/>
      </c>
      <c r="D140" s="24">
        <f>IF(OR(SUMIFS('員工更表輸入'!$D$5:$D$39,'員工更表輸入'!$A$5:$A$39,'設定 Settings'!$A$7,'員工更表輸入'!$B$5:$B$39,D$116)&lt;=0,Lists!$C$25&lt;SUMIFS('員工更表輸入'!$C$5:$C$39,'員工更表輸入'!$A$5:$A$39,'設定 Settings'!$A$7,'員工更表輸入'!$B$5:$B$39,D$116),Lists!$C$25&gt;=SUMIFS('員工更表輸入'!$D$5:$D$39,'員工更表輸入'!$A$5:$A$39,'設定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Settings'!$A$7,'員工更表輸入'!$B$5:$B$39,D$116)&gt;0,Lists!$C$25&gt;=SUMIFS('員工更表輸入'!$E$5:$E$39,'員工更表輸入'!$A$5:$A$39,'設定 Settings'!$A$7,'員工更表輸入'!$B$5:$B$39,D$116),Lists!$C$25&lt;SUMIFS('員工更表輸入'!$F$5:$F$39,'員工更表輸入'!$A$5:$A$39,'設定 Settings'!$A$7,'員工更表輸入'!$B$5:$B$39,D$116)),"Break","Work"))</f>
        <v/>
      </c>
      <c r="E140" s="24">
        <f>IF(OR(SUMIFS('員工更表輸入'!$D$5:$D$39,'員工更表輸入'!$A$5:$A$39,'設定 Settings'!$A$7,'員工更表輸入'!$B$5:$B$39,E$116)&lt;=0,Lists!$C$25&lt;SUMIFS('員工更表輸入'!$C$5:$C$39,'員工更表輸入'!$A$5:$A$39,'設定 Settings'!$A$7,'員工更表輸入'!$B$5:$B$39,E$116),Lists!$C$25&gt;=SUMIFS('員工更表輸入'!$D$5:$D$39,'員工更表輸入'!$A$5:$A$39,'設定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Settings'!$A$7,'員工更表輸入'!$B$5:$B$39,E$116)&gt;0,Lists!$C$25&gt;=SUMIFS('員工更表輸入'!$E$5:$E$39,'員工更表輸入'!$A$5:$A$39,'設定 Settings'!$A$7,'員工更表輸入'!$B$5:$B$39,E$116),Lists!$C$25&lt;SUMIFS('員工更表輸入'!$F$5:$F$39,'員工更表輸入'!$A$5:$A$39,'設定 Settings'!$A$7,'員工更表輸入'!$B$5:$B$39,E$116)),"Break","Work"))</f>
        <v/>
      </c>
      <c r="F140" s="24">
        <f>IF(OR(SUMIFS('員工更表輸入'!$D$5:$D$39,'員工更表輸入'!$A$5:$A$39,'設定 Settings'!$A$7,'員工更表輸入'!$B$5:$B$39,F$116)&lt;=0,Lists!$C$25&lt;SUMIFS('員工更表輸入'!$C$5:$C$39,'員工更表輸入'!$A$5:$A$39,'設定 Settings'!$A$7,'員工更表輸入'!$B$5:$B$39,F$116),Lists!$C$25&gt;=SUMIFS('員工更表輸入'!$D$5:$D$39,'員工更表輸入'!$A$5:$A$39,'設定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Settings'!$A$7,'員工更表輸入'!$B$5:$B$39,F$116)&gt;0,Lists!$C$25&gt;=SUMIFS('員工更表輸入'!$E$5:$E$39,'員工更表輸入'!$A$5:$A$39,'設定 Settings'!$A$7,'員工更表輸入'!$B$5:$B$39,F$116),Lists!$C$25&lt;SUMIFS('員工更表輸入'!$F$5:$F$39,'員工更表輸入'!$A$5:$A$39,'設定 Settings'!$A$7,'員工更表輸入'!$B$5:$B$39,F$116)),"Break","Work"))</f>
        <v/>
      </c>
      <c r="G140" s="24">
        <f>IF(OR(SUMIFS('員工更表輸入'!$D$5:$D$39,'員工更表輸入'!$A$5:$A$39,'設定 Settings'!$A$7,'員工更表輸入'!$B$5:$B$39,G$116)&lt;=0,Lists!$C$25&lt;SUMIFS('員工更表輸入'!$C$5:$C$39,'員工更表輸入'!$A$5:$A$39,'設定 Settings'!$A$7,'員工更表輸入'!$B$5:$B$39,G$116),Lists!$C$25&gt;=SUMIFS('員工更表輸入'!$D$5:$D$39,'員工更表輸入'!$A$5:$A$39,'設定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Settings'!$A$7,'員工更表輸入'!$B$5:$B$39,G$116)&gt;0,Lists!$C$25&gt;=SUMIFS('員工更表輸入'!$E$5:$E$39,'員工更表輸入'!$A$5:$A$39,'設定 Settings'!$A$7,'員工更表輸入'!$B$5:$B$39,G$116),Lists!$C$25&lt;SUMIFS('員工更表輸入'!$F$5:$F$39,'員工更表輸入'!$A$5:$A$39,'設定 Settings'!$A$7,'員工更表輸入'!$B$5:$B$39,G$116)),"Break","Work"))</f>
        <v/>
      </c>
      <c r="H140" s="24">
        <f>IF(OR(SUMIFS('員工更表輸入'!$D$5:$D$39,'員工更表輸入'!$A$5:$A$39,'設定 Settings'!$A$7,'員工更表輸入'!$B$5:$B$39,H$116)&lt;=0,Lists!$C$25&lt;SUMIFS('員工更表輸入'!$C$5:$C$39,'員工更表輸入'!$A$5:$A$39,'設定 Settings'!$A$7,'員工更表輸入'!$B$5:$B$39,H$116),Lists!$C$25&gt;=SUMIFS('員工更表輸入'!$D$5:$D$39,'員工更表輸入'!$A$5:$A$39,'設定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Settings'!$A$7,'員工更表輸入'!$B$5:$B$39,H$116)&gt;0,Lists!$C$25&gt;=SUMIFS('員工更表輸入'!$E$5:$E$39,'員工更表輸入'!$A$5:$A$39,'設定 Settings'!$A$7,'員工更表輸入'!$B$5:$B$39,H$116),Lists!$C$25&lt;SUMIFS('員工更表輸入'!$F$5:$F$39,'員工更表輸入'!$A$5:$A$39,'設定 Settings'!$A$7,'員工更表輸入'!$B$5:$B$39,H$116)),"Break","Work"))</f>
        <v/>
      </c>
    </row>
    <row r="141">
      <c r="A141" s="22" t="inlineStr">
        <is>
          <t>9:45pm-10:15pm</t>
        </is>
      </c>
      <c r="B141" s="24">
        <f>IF(OR(SUMIFS('員工更表輸入'!$D$5:$D$39,'員工更表輸入'!$A$5:$A$39,'設定 Settings'!$A$7,'員工更表輸入'!$B$5:$B$39,B$116)&lt;=0,Lists!$C$26&lt;SUMIFS('員工更表輸入'!$C$5:$C$39,'員工更表輸入'!$A$5:$A$39,'設定 Settings'!$A$7,'員工更表輸入'!$B$5:$B$39,B$116),Lists!$C$26&gt;=SUMIFS('員工更表輸入'!$D$5:$D$39,'員工更表輸入'!$A$5:$A$39,'設定 Settings'!$A$7,'員工更表輸入'!$B$5:$B$39,B$116)),"",IF(AND(SUMIFS('員工更表輸入'!$F$5:$F$39,'員工更表輸入'!$A$5:$A$39,'設定 Settings'!$A$7,'員工更表輸入'!$B$5:$B$39,B$116)&gt;0,Lists!$C$26&gt;=SUMIFS('員工更表輸入'!$E$5:$E$39,'員工更表輸入'!$A$5:$A$39,'設定 Settings'!$A$7,'員工更表輸入'!$B$5:$B$39,B$116),Lists!$C$26&lt;SUMIFS('員工更表輸入'!$F$5:$F$39,'員工更表輸入'!$A$5:$A$39,'設定 Settings'!$A$7,'員工更表輸入'!$B$5:$B$39,B$116)),"Break","Work"))</f>
        <v/>
      </c>
      <c r="C141" s="24">
        <f>IF(OR(SUMIFS('員工更表輸入'!$D$5:$D$39,'員工更表輸入'!$A$5:$A$39,'設定 Settings'!$A$7,'員工更表輸入'!$B$5:$B$39,C$116)&lt;=0,Lists!$C$26&lt;SUMIFS('員工更表輸入'!$C$5:$C$39,'員工更表輸入'!$A$5:$A$39,'設定 Settings'!$A$7,'員工更表輸入'!$B$5:$B$39,C$116),Lists!$C$26&gt;=SUMIFS('員工更表輸入'!$D$5:$D$39,'員工更表輸入'!$A$5:$A$39,'設定 Settings'!$A$7,'員工更表輸入'!$B$5:$B$39,C$116)),"",IF(AND(SUMIFS('員工更表輸入'!$F$5:$F$39,'員工更表輸入'!$A$5:$A$39,'設定 Settings'!$A$7,'員工更表輸入'!$B$5:$B$39,C$116)&gt;0,Lists!$C$26&gt;=SUMIFS('員工更表輸入'!$E$5:$E$39,'員工更表輸入'!$A$5:$A$39,'設定 Settings'!$A$7,'員工更表輸入'!$B$5:$B$39,C$116),Lists!$C$26&lt;SUMIFS('員工更表輸入'!$F$5:$F$39,'員工更表輸入'!$A$5:$A$39,'設定 Settings'!$A$7,'員工更表輸入'!$B$5:$B$39,C$116)),"Break","Work"))</f>
        <v/>
      </c>
      <c r="D141" s="24">
        <f>IF(OR(SUMIFS('員工更表輸入'!$D$5:$D$39,'員工更表輸入'!$A$5:$A$39,'設定 Settings'!$A$7,'員工更表輸入'!$B$5:$B$39,D$116)&lt;=0,Lists!$C$26&lt;SUMIFS('員工更表輸入'!$C$5:$C$39,'員工更表輸入'!$A$5:$A$39,'設定 Settings'!$A$7,'員工更表輸入'!$B$5:$B$39,D$116),Lists!$C$26&gt;=SUMIFS('員工更表輸入'!$D$5:$D$39,'員工更表輸入'!$A$5:$A$39,'設定 Settings'!$A$7,'員工更表輸入'!$B$5:$B$39,D$116)),"",IF(AND(SUMIFS('員工更表輸入'!$F$5:$F$39,'員工更表輸入'!$A$5:$A$39,'設定 Settings'!$A$7,'員工更表輸入'!$B$5:$B$39,D$116)&gt;0,Lists!$C$26&gt;=SUMIFS('員工更表輸入'!$E$5:$E$39,'員工更表輸入'!$A$5:$A$39,'設定 Settings'!$A$7,'員工更表輸入'!$B$5:$B$39,D$116),Lists!$C$26&lt;SUMIFS('員工更表輸入'!$F$5:$F$39,'員工更表輸入'!$A$5:$A$39,'設定 Settings'!$A$7,'員工更表輸入'!$B$5:$B$39,D$116)),"Break","Work"))</f>
        <v/>
      </c>
      <c r="E141" s="24">
        <f>IF(OR(SUMIFS('員工更表輸入'!$D$5:$D$39,'員工更表輸入'!$A$5:$A$39,'設定 Settings'!$A$7,'員工更表輸入'!$B$5:$B$39,E$116)&lt;=0,Lists!$C$26&lt;SUMIFS('員工更表輸入'!$C$5:$C$39,'員工更表輸入'!$A$5:$A$39,'設定 Settings'!$A$7,'員工更表輸入'!$B$5:$B$39,E$116),Lists!$C$26&gt;=SUMIFS('員工更表輸入'!$D$5:$D$39,'員工更表輸入'!$A$5:$A$39,'設定 Settings'!$A$7,'員工更表輸入'!$B$5:$B$39,E$116)),"",IF(AND(SUMIFS('員工更表輸入'!$F$5:$F$39,'員工更表輸入'!$A$5:$A$39,'設定 Settings'!$A$7,'員工更表輸入'!$B$5:$B$39,E$116)&gt;0,Lists!$C$26&gt;=SUMIFS('員工更表輸入'!$E$5:$E$39,'員工更表輸入'!$A$5:$A$39,'設定 Settings'!$A$7,'員工更表輸入'!$B$5:$B$39,E$116),Lists!$C$26&lt;SUMIFS('員工更表輸入'!$F$5:$F$39,'員工更表輸入'!$A$5:$A$39,'設定 Settings'!$A$7,'員工更表輸入'!$B$5:$B$39,E$116)),"Break","Work"))</f>
        <v/>
      </c>
      <c r="F141" s="24">
        <f>IF(OR(SUMIFS('員工更表輸入'!$D$5:$D$39,'員工更表輸入'!$A$5:$A$39,'設定 Settings'!$A$7,'員工更表輸入'!$B$5:$B$39,F$116)&lt;=0,Lists!$C$26&lt;SUMIFS('員工更表輸入'!$C$5:$C$39,'員工更表輸入'!$A$5:$A$39,'設定 Settings'!$A$7,'員工更表輸入'!$B$5:$B$39,F$116),Lists!$C$26&gt;=SUMIFS('員工更表輸入'!$D$5:$D$39,'員工更表輸入'!$A$5:$A$39,'設定 Settings'!$A$7,'員工更表輸入'!$B$5:$B$39,F$116)),"",IF(AND(SUMIFS('員工更表輸入'!$F$5:$F$39,'員工更表輸入'!$A$5:$A$39,'設定 Settings'!$A$7,'員工更表輸入'!$B$5:$B$39,F$116)&gt;0,Lists!$C$26&gt;=SUMIFS('員工更表輸入'!$E$5:$E$39,'員工更表輸入'!$A$5:$A$39,'設定 Settings'!$A$7,'員工更表輸入'!$B$5:$B$39,F$116),Lists!$C$26&lt;SUMIFS('員工更表輸入'!$F$5:$F$39,'員工更表輸入'!$A$5:$A$39,'設定 Settings'!$A$7,'員工更表輸入'!$B$5:$B$39,F$116)),"Break","Work"))</f>
        <v/>
      </c>
      <c r="G141" s="24">
        <f>IF(OR(SUMIFS('員工更表輸入'!$D$5:$D$39,'員工更表輸入'!$A$5:$A$39,'設定 Settings'!$A$7,'員工更表輸入'!$B$5:$B$39,G$116)&lt;=0,Lists!$C$26&lt;SUMIFS('員工更表輸入'!$C$5:$C$39,'員工更表輸入'!$A$5:$A$39,'設定 Settings'!$A$7,'員工更表輸入'!$B$5:$B$39,G$116),Lists!$C$26&gt;=SUMIFS('員工更表輸入'!$D$5:$D$39,'員工更表輸入'!$A$5:$A$39,'設定 Settings'!$A$7,'員工更表輸入'!$B$5:$B$39,G$116)),"",IF(AND(SUMIFS('員工更表輸入'!$F$5:$F$39,'員工更表輸入'!$A$5:$A$39,'設定 Settings'!$A$7,'員工更表輸入'!$B$5:$B$39,G$116)&gt;0,Lists!$C$26&gt;=SUMIFS('員工更表輸入'!$E$5:$E$39,'員工更表輸入'!$A$5:$A$39,'設定 Settings'!$A$7,'員工更表輸入'!$B$5:$B$39,G$116),Lists!$C$26&lt;SUMIFS('員工更表輸入'!$F$5:$F$39,'員工更表輸入'!$A$5:$A$39,'設定 Settings'!$A$7,'員工更表輸入'!$B$5:$B$39,G$116)),"Break","Work"))</f>
        <v/>
      </c>
      <c r="H141" s="24">
        <f>IF(OR(SUMIFS('員工更表輸入'!$D$5:$D$39,'員工更表輸入'!$A$5:$A$39,'設定 Settings'!$A$7,'員工更表輸入'!$B$5:$B$39,H$116)&lt;=0,Lists!$C$26&lt;SUMIFS('員工更表輸入'!$C$5:$C$39,'員工更表輸入'!$A$5:$A$39,'設定 Settings'!$A$7,'員工更表輸入'!$B$5:$B$39,H$116),Lists!$C$26&gt;=SUMIFS('員工更表輸入'!$D$5:$D$39,'員工更表輸入'!$A$5:$A$39,'設定 Settings'!$A$7,'員工更表輸入'!$B$5:$B$39,H$116)),"",IF(AND(SUMIFS('員工更表輸入'!$F$5:$F$39,'員工更表輸入'!$A$5:$A$39,'設定 Settings'!$A$7,'員工更表輸入'!$B$5:$B$39,H$116)&gt;0,Lists!$C$26&gt;=SUMIFS('員工更表輸入'!$E$5:$E$39,'員工更表輸入'!$A$5:$A$39,'設定 Settings'!$A$7,'員工更表輸入'!$B$5:$B$39,H$116),Lists!$C$26&lt;SUMIFS('員工更表輸入'!$F$5:$F$39,'員工更表輸入'!$A$5:$A$39,'設定 Settings'!$A$7,'員工更表輸入'!$B$5:$B$39,H$116)),"Break","Work"))</f>
        <v/>
      </c>
    </row>
    <row r="143">
      <c r="A143" s="28">
        <f>"員工更表："&amp;'設定 Settings'!$A$8</f>
        <v/>
      </c>
    </row>
    <row r="144">
      <c r="A144" s="17" t="inlineStr">
        <is>
          <t>時段＼員工</t>
        </is>
      </c>
      <c r="B144" s="17" t="inlineStr">
        <is>
          <t>星期一</t>
        </is>
      </c>
      <c r="C144" s="17" t="inlineStr">
        <is>
          <t>星期二</t>
        </is>
      </c>
      <c r="D144" s="17" t="inlineStr">
        <is>
          <t>星期三</t>
        </is>
      </c>
      <c r="E144" s="17" t="inlineStr">
        <is>
          <t>星期四</t>
        </is>
      </c>
      <c r="F144" s="17" t="inlineStr">
        <is>
          <t>星期五</t>
        </is>
      </c>
      <c r="G144" s="21" t="inlineStr">
        <is>
          <t>星期六</t>
        </is>
      </c>
      <c r="H144" s="21" t="inlineStr">
        <is>
          <t>星期日</t>
        </is>
      </c>
    </row>
    <row r="145">
      <c r="A145" s="22" t="inlineStr">
        <is>
          <t>9:45am-10:15am</t>
        </is>
      </c>
      <c r="B145" s="24">
        <f>IF(OR(SUMIFS('員工更表輸入'!$D$5:$D$39,'員工更表輸入'!$A$5:$A$39,'設定 Settings'!$A$8,'員工更表輸入'!$B$5:$B$39,B$144)&lt;=0,Lists!$C$2&lt;SUMIFS('員工更表輸入'!$C$5:$C$39,'員工更表輸入'!$A$5:$A$39,'設定 Settings'!$A$8,'員工更表輸入'!$B$5:$B$39,B$144),Lists!$C$2&gt;=SUMIFS('員工更表輸入'!$D$5:$D$39,'員工更表輸入'!$A$5:$A$39,'設定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Settings'!$A$8,'員工更表輸入'!$B$5:$B$39,B$144)&gt;0,Lists!$C$2&gt;=SUMIFS('員工更表輸入'!$E$5:$E$39,'員工更表輸入'!$A$5:$A$39,'設定 Settings'!$A$8,'員工更表輸入'!$B$5:$B$39,B$144),Lists!$C$2&lt;SUMIFS('員工更表輸入'!$F$5:$F$39,'員工更表輸入'!$A$5:$A$39,'設定 Settings'!$A$8,'員工更表輸入'!$B$5:$B$39,B$144)),"Break","Work"))</f>
        <v/>
      </c>
      <c r="C145" s="24">
        <f>IF(OR(SUMIFS('員工更表輸入'!$D$5:$D$39,'員工更表輸入'!$A$5:$A$39,'設定 Settings'!$A$8,'員工更表輸入'!$B$5:$B$39,C$144)&lt;=0,Lists!$C$2&lt;SUMIFS('員工更表輸入'!$C$5:$C$39,'員工更表輸入'!$A$5:$A$39,'設定 Settings'!$A$8,'員工更表輸入'!$B$5:$B$39,C$144),Lists!$C$2&gt;=SUMIFS('員工更表輸入'!$D$5:$D$39,'員工更表輸入'!$A$5:$A$39,'設定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Settings'!$A$8,'員工更表輸入'!$B$5:$B$39,C$144)&gt;0,Lists!$C$2&gt;=SUMIFS('員工更表輸入'!$E$5:$E$39,'員工更表輸入'!$A$5:$A$39,'設定 Settings'!$A$8,'員工更表輸入'!$B$5:$B$39,C$144),Lists!$C$2&lt;SUMIFS('員工更表輸入'!$F$5:$F$39,'員工更表輸入'!$A$5:$A$39,'設定 Settings'!$A$8,'員工更表輸入'!$B$5:$B$39,C$144)),"Break","Work"))</f>
        <v/>
      </c>
      <c r="D145" s="24">
        <f>IF(OR(SUMIFS('員工更表輸入'!$D$5:$D$39,'員工更表輸入'!$A$5:$A$39,'設定 Settings'!$A$8,'員工更表輸入'!$B$5:$B$39,D$144)&lt;=0,Lists!$C$2&lt;SUMIFS('員工更表輸入'!$C$5:$C$39,'員工更表輸入'!$A$5:$A$39,'設定 Settings'!$A$8,'員工更表輸入'!$B$5:$B$39,D$144),Lists!$C$2&gt;=SUMIFS('員工更表輸入'!$D$5:$D$39,'員工更表輸入'!$A$5:$A$39,'設定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Settings'!$A$8,'員工更表輸入'!$B$5:$B$39,D$144)&gt;0,Lists!$C$2&gt;=SUMIFS('員工更表輸入'!$E$5:$E$39,'員工更表輸入'!$A$5:$A$39,'設定 Settings'!$A$8,'員工更表輸入'!$B$5:$B$39,D$144),Lists!$C$2&lt;SUMIFS('員工更表輸入'!$F$5:$F$39,'員工更表輸入'!$A$5:$A$39,'設定 Settings'!$A$8,'員工更表輸入'!$B$5:$B$39,D$144)),"Break","Work"))</f>
        <v/>
      </c>
      <c r="E145" s="24">
        <f>IF(OR(SUMIFS('員工更表輸入'!$D$5:$D$39,'員工更表輸入'!$A$5:$A$39,'設定 Settings'!$A$8,'員工更表輸入'!$B$5:$B$39,E$144)&lt;=0,Lists!$C$2&lt;SUMIFS('員工更表輸入'!$C$5:$C$39,'員工更表輸入'!$A$5:$A$39,'設定 Settings'!$A$8,'員工更表輸入'!$B$5:$B$39,E$144),Lists!$C$2&gt;=SUMIFS('員工更表輸入'!$D$5:$D$39,'員工更表輸入'!$A$5:$A$39,'設定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Settings'!$A$8,'員工更表輸入'!$B$5:$B$39,E$144)&gt;0,Lists!$C$2&gt;=SUMIFS('員工更表輸入'!$E$5:$E$39,'員工更表輸入'!$A$5:$A$39,'設定 Settings'!$A$8,'員工更表輸入'!$B$5:$B$39,E$144),Lists!$C$2&lt;SUMIFS('員工更表輸入'!$F$5:$F$39,'員工更表輸入'!$A$5:$A$39,'設定 Settings'!$A$8,'員工更表輸入'!$B$5:$B$39,E$144)),"Break","Work"))</f>
        <v/>
      </c>
      <c r="F145" s="24">
        <f>IF(OR(SUMIFS('員工更表輸入'!$D$5:$D$39,'員工更表輸入'!$A$5:$A$39,'設定 Settings'!$A$8,'員工更表輸入'!$B$5:$B$39,F$144)&lt;=0,Lists!$C$2&lt;SUMIFS('員工更表輸入'!$C$5:$C$39,'員工更表輸入'!$A$5:$A$39,'設定 Settings'!$A$8,'員工更表輸入'!$B$5:$B$39,F$144),Lists!$C$2&gt;=SUMIFS('員工更表輸入'!$D$5:$D$39,'員工更表輸入'!$A$5:$A$39,'設定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Settings'!$A$8,'員工更表輸入'!$B$5:$B$39,F$144)&gt;0,Lists!$C$2&gt;=SUMIFS('員工更表輸入'!$E$5:$E$39,'員工更表輸入'!$A$5:$A$39,'設定 Settings'!$A$8,'員工更表輸入'!$B$5:$B$39,F$144),Lists!$C$2&lt;SUMIFS('員工更表輸入'!$F$5:$F$39,'員工更表輸入'!$A$5:$A$39,'設定 Settings'!$A$8,'員工更表輸入'!$B$5:$B$39,F$144)),"Break","Work"))</f>
        <v/>
      </c>
      <c r="G145" s="24">
        <f>IF(OR(SUMIFS('員工更表輸入'!$D$5:$D$39,'員工更表輸入'!$A$5:$A$39,'設定 Settings'!$A$8,'員工更表輸入'!$B$5:$B$39,G$144)&lt;=0,Lists!$C$2&lt;SUMIFS('員工更表輸入'!$C$5:$C$39,'員工更表輸入'!$A$5:$A$39,'設定 Settings'!$A$8,'員工更表輸入'!$B$5:$B$39,G$144),Lists!$C$2&gt;=SUMIFS('員工更表輸入'!$D$5:$D$39,'員工更表輸入'!$A$5:$A$39,'設定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Settings'!$A$8,'員工更表輸入'!$B$5:$B$39,G$144)&gt;0,Lists!$C$2&gt;=SUMIFS('員工更表輸入'!$E$5:$E$39,'員工更表輸入'!$A$5:$A$39,'設定 Settings'!$A$8,'員工更表輸入'!$B$5:$B$39,G$144),Lists!$C$2&lt;SUMIFS('員工更表輸入'!$F$5:$F$39,'員工更表輸入'!$A$5:$A$39,'設定 Settings'!$A$8,'員工更表輸入'!$B$5:$B$39,G$144)),"Break","Work"))</f>
        <v/>
      </c>
      <c r="H145" s="24">
        <f>IF(OR(SUMIFS('員工更表輸入'!$D$5:$D$39,'員工更表輸入'!$A$5:$A$39,'設定 Settings'!$A$8,'員工更表輸入'!$B$5:$B$39,H$144)&lt;=0,Lists!$C$2&lt;SUMIFS('員工更表輸入'!$C$5:$C$39,'員工更表輸入'!$A$5:$A$39,'設定 Settings'!$A$8,'員工更表輸入'!$B$5:$B$39,H$144),Lists!$C$2&gt;=SUMIFS('員工更表輸入'!$D$5:$D$39,'員工更表輸入'!$A$5:$A$39,'設定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Settings'!$A$8,'員工更表輸入'!$B$5:$B$39,H$144)&gt;0,Lists!$C$2&gt;=SUMIFS('員工更表輸入'!$E$5:$E$39,'員工更表輸入'!$A$5:$A$39,'設定 Settings'!$A$8,'員工更表輸入'!$B$5:$B$39,H$144),Lists!$C$2&lt;SUMIFS('員工更表輸入'!$F$5:$F$39,'員工更表輸入'!$A$5:$A$39,'設定 Settings'!$A$8,'員工更表輸入'!$B$5:$B$39,H$144)),"Break","Work"))</f>
        <v/>
      </c>
    </row>
    <row r="146">
      <c r="A146" s="22" t="inlineStr">
        <is>
          <t>10:15am-10:45am</t>
        </is>
      </c>
      <c r="B146" s="24">
        <f>IF(OR(SUMIFS('員工更表輸入'!$D$5:$D$39,'員工更表輸入'!$A$5:$A$39,'設定 Settings'!$A$8,'員工更表輸入'!$B$5:$B$39,B$144)&lt;=0,Lists!$C$3&lt;SUMIFS('員工更表輸入'!$C$5:$C$39,'員工更表輸入'!$A$5:$A$39,'設定 Settings'!$A$8,'員工更表輸入'!$B$5:$B$39,B$144),Lists!$C$3&gt;=SUMIFS('員工更表輸入'!$D$5:$D$39,'員工更表輸入'!$A$5:$A$39,'設定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Settings'!$A$8,'員工更表輸入'!$B$5:$B$39,B$144)&gt;0,Lists!$C$3&gt;=SUMIFS('員工更表輸入'!$E$5:$E$39,'員工更表輸入'!$A$5:$A$39,'設定 Settings'!$A$8,'員工更表輸入'!$B$5:$B$39,B$144),Lists!$C$3&lt;SUMIFS('員工更表輸入'!$F$5:$F$39,'員工更表輸入'!$A$5:$A$39,'設定 Settings'!$A$8,'員工更表輸入'!$B$5:$B$39,B$144)),"Break","Work"))</f>
        <v/>
      </c>
      <c r="C146" s="24">
        <f>IF(OR(SUMIFS('員工更表輸入'!$D$5:$D$39,'員工更表輸入'!$A$5:$A$39,'設定 Settings'!$A$8,'員工更表輸入'!$B$5:$B$39,C$144)&lt;=0,Lists!$C$3&lt;SUMIFS('員工更表輸入'!$C$5:$C$39,'員工更表輸入'!$A$5:$A$39,'設定 Settings'!$A$8,'員工更表輸入'!$B$5:$B$39,C$144),Lists!$C$3&gt;=SUMIFS('員工更表輸入'!$D$5:$D$39,'員工更表輸入'!$A$5:$A$39,'設定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Settings'!$A$8,'員工更表輸入'!$B$5:$B$39,C$144)&gt;0,Lists!$C$3&gt;=SUMIFS('員工更表輸入'!$E$5:$E$39,'員工更表輸入'!$A$5:$A$39,'設定 Settings'!$A$8,'員工更表輸入'!$B$5:$B$39,C$144),Lists!$C$3&lt;SUMIFS('員工更表輸入'!$F$5:$F$39,'員工更表輸入'!$A$5:$A$39,'設定 Settings'!$A$8,'員工更表輸入'!$B$5:$B$39,C$144)),"Break","Work"))</f>
        <v/>
      </c>
      <c r="D146" s="24">
        <f>IF(OR(SUMIFS('員工更表輸入'!$D$5:$D$39,'員工更表輸入'!$A$5:$A$39,'設定 Settings'!$A$8,'員工更表輸入'!$B$5:$B$39,D$144)&lt;=0,Lists!$C$3&lt;SUMIFS('員工更表輸入'!$C$5:$C$39,'員工更表輸入'!$A$5:$A$39,'設定 Settings'!$A$8,'員工更表輸入'!$B$5:$B$39,D$144),Lists!$C$3&gt;=SUMIFS('員工更表輸入'!$D$5:$D$39,'員工更表輸入'!$A$5:$A$39,'設定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Settings'!$A$8,'員工更表輸入'!$B$5:$B$39,D$144)&gt;0,Lists!$C$3&gt;=SUMIFS('員工更表輸入'!$E$5:$E$39,'員工更表輸入'!$A$5:$A$39,'設定 Settings'!$A$8,'員工更表輸入'!$B$5:$B$39,D$144),Lists!$C$3&lt;SUMIFS('員工更表輸入'!$F$5:$F$39,'員工更表輸入'!$A$5:$A$39,'設定 Settings'!$A$8,'員工更表輸入'!$B$5:$B$39,D$144)),"Break","Work"))</f>
        <v/>
      </c>
      <c r="E146" s="24">
        <f>IF(OR(SUMIFS('員工更表輸入'!$D$5:$D$39,'員工更表輸入'!$A$5:$A$39,'設定 Settings'!$A$8,'員工更表輸入'!$B$5:$B$39,E$144)&lt;=0,Lists!$C$3&lt;SUMIFS('員工更表輸入'!$C$5:$C$39,'員工更表輸入'!$A$5:$A$39,'設定 Settings'!$A$8,'員工更表輸入'!$B$5:$B$39,E$144),Lists!$C$3&gt;=SUMIFS('員工更表輸入'!$D$5:$D$39,'員工更表輸入'!$A$5:$A$39,'設定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Settings'!$A$8,'員工更表輸入'!$B$5:$B$39,E$144)&gt;0,Lists!$C$3&gt;=SUMIFS('員工更表輸入'!$E$5:$E$39,'員工更表輸入'!$A$5:$A$39,'設定 Settings'!$A$8,'員工更表輸入'!$B$5:$B$39,E$144),Lists!$C$3&lt;SUMIFS('員工更表輸入'!$F$5:$F$39,'員工更表輸入'!$A$5:$A$39,'設定 Settings'!$A$8,'員工更表輸入'!$B$5:$B$39,E$144)),"Break","Work"))</f>
        <v/>
      </c>
      <c r="F146" s="24">
        <f>IF(OR(SUMIFS('員工更表輸入'!$D$5:$D$39,'員工更表輸入'!$A$5:$A$39,'設定 Settings'!$A$8,'員工更表輸入'!$B$5:$B$39,F$144)&lt;=0,Lists!$C$3&lt;SUMIFS('員工更表輸入'!$C$5:$C$39,'員工更表輸入'!$A$5:$A$39,'設定 Settings'!$A$8,'員工更表輸入'!$B$5:$B$39,F$144),Lists!$C$3&gt;=SUMIFS('員工更表輸入'!$D$5:$D$39,'員工更表輸入'!$A$5:$A$39,'設定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Settings'!$A$8,'員工更表輸入'!$B$5:$B$39,F$144)&gt;0,Lists!$C$3&gt;=SUMIFS('員工更表輸入'!$E$5:$E$39,'員工更表輸入'!$A$5:$A$39,'設定 Settings'!$A$8,'員工更表輸入'!$B$5:$B$39,F$144),Lists!$C$3&lt;SUMIFS('員工更表輸入'!$F$5:$F$39,'員工更表輸入'!$A$5:$A$39,'設定 Settings'!$A$8,'員工更表輸入'!$B$5:$B$39,F$144)),"Break","Work"))</f>
        <v/>
      </c>
      <c r="G146" s="24">
        <f>IF(OR(SUMIFS('員工更表輸入'!$D$5:$D$39,'員工更表輸入'!$A$5:$A$39,'設定 Settings'!$A$8,'員工更表輸入'!$B$5:$B$39,G$144)&lt;=0,Lists!$C$3&lt;SUMIFS('員工更表輸入'!$C$5:$C$39,'員工更表輸入'!$A$5:$A$39,'設定 Settings'!$A$8,'員工更表輸入'!$B$5:$B$39,G$144),Lists!$C$3&gt;=SUMIFS('員工更表輸入'!$D$5:$D$39,'員工更表輸入'!$A$5:$A$39,'設定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Settings'!$A$8,'員工更表輸入'!$B$5:$B$39,G$144)&gt;0,Lists!$C$3&gt;=SUMIFS('員工更表輸入'!$E$5:$E$39,'員工更表輸入'!$A$5:$A$39,'設定 Settings'!$A$8,'員工更表輸入'!$B$5:$B$39,G$144),Lists!$C$3&lt;SUMIFS('員工更表輸入'!$F$5:$F$39,'員工更表輸入'!$A$5:$A$39,'設定 Settings'!$A$8,'員工更表輸入'!$B$5:$B$39,G$144)),"Break","Work"))</f>
        <v/>
      </c>
      <c r="H146" s="24">
        <f>IF(OR(SUMIFS('員工更表輸入'!$D$5:$D$39,'員工更表輸入'!$A$5:$A$39,'設定 Settings'!$A$8,'員工更表輸入'!$B$5:$B$39,H$144)&lt;=0,Lists!$C$3&lt;SUMIFS('員工更表輸入'!$C$5:$C$39,'員工更表輸入'!$A$5:$A$39,'設定 Settings'!$A$8,'員工更表輸入'!$B$5:$B$39,H$144),Lists!$C$3&gt;=SUMIFS('員工更表輸入'!$D$5:$D$39,'員工更表輸入'!$A$5:$A$39,'設定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Settings'!$A$8,'員工更表輸入'!$B$5:$B$39,H$144)&gt;0,Lists!$C$3&gt;=SUMIFS('員工更表輸入'!$E$5:$E$39,'員工更表輸入'!$A$5:$A$39,'設定 Settings'!$A$8,'員工更表輸入'!$B$5:$B$39,H$144),Lists!$C$3&lt;SUMIFS('員工更表輸入'!$F$5:$F$39,'員工更表輸入'!$A$5:$A$39,'設定 Settings'!$A$8,'員工更表輸入'!$B$5:$B$39,H$144)),"Break","Work"))</f>
        <v/>
      </c>
    </row>
    <row r="147">
      <c r="A147" s="22" t="inlineStr">
        <is>
          <t>10:45am-11:15am</t>
        </is>
      </c>
      <c r="B147" s="24">
        <f>IF(OR(SUMIFS('員工更表輸入'!$D$5:$D$39,'員工更表輸入'!$A$5:$A$39,'設定 Settings'!$A$8,'員工更表輸入'!$B$5:$B$39,B$144)&lt;=0,Lists!$C$4&lt;SUMIFS('員工更表輸入'!$C$5:$C$39,'員工更表輸入'!$A$5:$A$39,'設定 Settings'!$A$8,'員工更表輸入'!$B$5:$B$39,B$144),Lists!$C$4&gt;=SUMIFS('員工更表輸入'!$D$5:$D$39,'員工更表輸入'!$A$5:$A$39,'設定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Settings'!$A$8,'員工更表輸入'!$B$5:$B$39,B$144)&gt;0,Lists!$C$4&gt;=SUMIFS('員工更表輸入'!$E$5:$E$39,'員工更表輸入'!$A$5:$A$39,'設定 Settings'!$A$8,'員工更表輸入'!$B$5:$B$39,B$144),Lists!$C$4&lt;SUMIFS('員工更表輸入'!$F$5:$F$39,'員工更表輸入'!$A$5:$A$39,'設定 Settings'!$A$8,'員工更表輸入'!$B$5:$B$39,B$144)),"Break","Work"))</f>
        <v/>
      </c>
      <c r="C147" s="24">
        <f>IF(OR(SUMIFS('員工更表輸入'!$D$5:$D$39,'員工更表輸入'!$A$5:$A$39,'設定 Settings'!$A$8,'員工更表輸入'!$B$5:$B$39,C$144)&lt;=0,Lists!$C$4&lt;SUMIFS('員工更表輸入'!$C$5:$C$39,'員工更表輸入'!$A$5:$A$39,'設定 Settings'!$A$8,'員工更表輸入'!$B$5:$B$39,C$144),Lists!$C$4&gt;=SUMIFS('員工更表輸入'!$D$5:$D$39,'員工更表輸入'!$A$5:$A$39,'設定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Settings'!$A$8,'員工更表輸入'!$B$5:$B$39,C$144)&gt;0,Lists!$C$4&gt;=SUMIFS('員工更表輸入'!$E$5:$E$39,'員工更表輸入'!$A$5:$A$39,'設定 Settings'!$A$8,'員工更表輸入'!$B$5:$B$39,C$144),Lists!$C$4&lt;SUMIFS('員工更表輸入'!$F$5:$F$39,'員工更表輸入'!$A$5:$A$39,'設定 Settings'!$A$8,'員工更表輸入'!$B$5:$B$39,C$144)),"Break","Work"))</f>
        <v/>
      </c>
      <c r="D147" s="24">
        <f>IF(OR(SUMIFS('員工更表輸入'!$D$5:$D$39,'員工更表輸入'!$A$5:$A$39,'設定 Settings'!$A$8,'員工更表輸入'!$B$5:$B$39,D$144)&lt;=0,Lists!$C$4&lt;SUMIFS('員工更表輸入'!$C$5:$C$39,'員工更表輸入'!$A$5:$A$39,'設定 Settings'!$A$8,'員工更表輸入'!$B$5:$B$39,D$144),Lists!$C$4&gt;=SUMIFS('員工更表輸入'!$D$5:$D$39,'員工更表輸入'!$A$5:$A$39,'設定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Settings'!$A$8,'員工更表輸入'!$B$5:$B$39,D$144)&gt;0,Lists!$C$4&gt;=SUMIFS('員工更表輸入'!$E$5:$E$39,'員工更表輸入'!$A$5:$A$39,'設定 Settings'!$A$8,'員工更表輸入'!$B$5:$B$39,D$144),Lists!$C$4&lt;SUMIFS('員工更表輸入'!$F$5:$F$39,'員工更表輸入'!$A$5:$A$39,'設定 Settings'!$A$8,'員工更表輸入'!$B$5:$B$39,D$144)),"Break","Work"))</f>
        <v/>
      </c>
      <c r="E147" s="24">
        <f>IF(OR(SUMIFS('員工更表輸入'!$D$5:$D$39,'員工更表輸入'!$A$5:$A$39,'設定 Settings'!$A$8,'員工更表輸入'!$B$5:$B$39,E$144)&lt;=0,Lists!$C$4&lt;SUMIFS('員工更表輸入'!$C$5:$C$39,'員工更表輸入'!$A$5:$A$39,'設定 Settings'!$A$8,'員工更表輸入'!$B$5:$B$39,E$144),Lists!$C$4&gt;=SUMIFS('員工更表輸入'!$D$5:$D$39,'員工更表輸入'!$A$5:$A$39,'設定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Settings'!$A$8,'員工更表輸入'!$B$5:$B$39,E$144)&gt;0,Lists!$C$4&gt;=SUMIFS('員工更表輸入'!$E$5:$E$39,'員工更表輸入'!$A$5:$A$39,'設定 Settings'!$A$8,'員工更表輸入'!$B$5:$B$39,E$144),Lists!$C$4&lt;SUMIFS('員工更表輸入'!$F$5:$F$39,'員工更表輸入'!$A$5:$A$39,'設定 Settings'!$A$8,'員工更表輸入'!$B$5:$B$39,E$144)),"Break","Work"))</f>
        <v/>
      </c>
      <c r="F147" s="24">
        <f>IF(OR(SUMIFS('員工更表輸入'!$D$5:$D$39,'員工更表輸入'!$A$5:$A$39,'設定 Settings'!$A$8,'員工更表輸入'!$B$5:$B$39,F$144)&lt;=0,Lists!$C$4&lt;SUMIFS('員工更表輸入'!$C$5:$C$39,'員工更表輸入'!$A$5:$A$39,'設定 Settings'!$A$8,'員工更表輸入'!$B$5:$B$39,F$144),Lists!$C$4&gt;=SUMIFS('員工更表輸入'!$D$5:$D$39,'員工更表輸入'!$A$5:$A$39,'設定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Settings'!$A$8,'員工更表輸入'!$B$5:$B$39,F$144)&gt;0,Lists!$C$4&gt;=SUMIFS('員工更表輸入'!$E$5:$E$39,'員工更表輸入'!$A$5:$A$39,'設定 Settings'!$A$8,'員工更表輸入'!$B$5:$B$39,F$144),Lists!$C$4&lt;SUMIFS('員工更表輸入'!$F$5:$F$39,'員工更表輸入'!$A$5:$A$39,'設定 Settings'!$A$8,'員工更表輸入'!$B$5:$B$39,F$144)),"Break","Work"))</f>
        <v/>
      </c>
      <c r="G147" s="24">
        <f>IF(OR(SUMIFS('員工更表輸入'!$D$5:$D$39,'員工更表輸入'!$A$5:$A$39,'設定 Settings'!$A$8,'員工更表輸入'!$B$5:$B$39,G$144)&lt;=0,Lists!$C$4&lt;SUMIFS('員工更表輸入'!$C$5:$C$39,'員工更表輸入'!$A$5:$A$39,'設定 Settings'!$A$8,'員工更表輸入'!$B$5:$B$39,G$144),Lists!$C$4&gt;=SUMIFS('員工更表輸入'!$D$5:$D$39,'員工更表輸入'!$A$5:$A$39,'設定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Settings'!$A$8,'員工更表輸入'!$B$5:$B$39,G$144)&gt;0,Lists!$C$4&gt;=SUMIFS('員工更表輸入'!$E$5:$E$39,'員工更表輸入'!$A$5:$A$39,'設定 Settings'!$A$8,'員工更表輸入'!$B$5:$B$39,G$144),Lists!$C$4&lt;SUMIFS('員工更表輸入'!$F$5:$F$39,'員工更表輸入'!$A$5:$A$39,'設定 Settings'!$A$8,'員工更表輸入'!$B$5:$B$39,G$144)),"Break","Work"))</f>
        <v/>
      </c>
      <c r="H147" s="24">
        <f>IF(OR(SUMIFS('員工更表輸入'!$D$5:$D$39,'員工更表輸入'!$A$5:$A$39,'設定 Settings'!$A$8,'員工更表輸入'!$B$5:$B$39,H$144)&lt;=0,Lists!$C$4&lt;SUMIFS('員工更表輸入'!$C$5:$C$39,'員工更表輸入'!$A$5:$A$39,'設定 Settings'!$A$8,'員工更表輸入'!$B$5:$B$39,H$144),Lists!$C$4&gt;=SUMIFS('員工更表輸入'!$D$5:$D$39,'員工更表輸入'!$A$5:$A$39,'設定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Settings'!$A$8,'員工更表輸入'!$B$5:$B$39,H$144)&gt;0,Lists!$C$4&gt;=SUMIFS('員工更表輸入'!$E$5:$E$39,'員工更表輸入'!$A$5:$A$39,'設定 Settings'!$A$8,'員工更表輸入'!$B$5:$B$39,H$144),Lists!$C$4&lt;SUMIFS('員工更表輸入'!$F$5:$F$39,'員工更表輸入'!$A$5:$A$39,'設定 Settings'!$A$8,'員工更表輸入'!$B$5:$B$39,H$144)),"Break","Work"))</f>
        <v/>
      </c>
    </row>
    <row r="148">
      <c r="A148" s="22" t="inlineStr">
        <is>
          <t>11:15am-11:45am</t>
        </is>
      </c>
      <c r="B148" s="24">
        <f>IF(OR(SUMIFS('員工更表輸入'!$D$5:$D$39,'員工更表輸入'!$A$5:$A$39,'設定 Settings'!$A$8,'員工更表輸入'!$B$5:$B$39,B$144)&lt;=0,Lists!$C$5&lt;SUMIFS('員工更表輸入'!$C$5:$C$39,'員工更表輸入'!$A$5:$A$39,'設定 Settings'!$A$8,'員工更表輸入'!$B$5:$B$39,B$144),Lists!$C$5&gt;=SUMIFS('員工更表輸入'!$D$5:$D$39,'員工更表輸入'!$A$5:$A$39,'設定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Settings'!$A$8,'員工更表輸入'!$B$5:$B$39,B$144)&gt;0,Lists!$C$5&gt;=SUMIFS('員工更表輸入'!$E$5:$E$39,'員工更表輸入'!$A$5:$A$39,'設定 Settings'!$A$8,'員工更表輸入'!$B$5:$B$39,B$144),Lists!$C$5&lt;SUMIFS('員工更表輸入'!$F$5:$F$39,'員工更表輸入'!$A$5:$A$39,'設定 Settings'!$A$8,'員工更表輸入'!$B$5:$B$39,B$144)),"Break","Work"))</f>
        <v/>
      </c>
      <c r="C148" s="24">
        <f>IF(OR(SUMIFS('員工更表輸入'!$D$5:$D$39,'員工更表輸入'!$A$5:$A$39,'設定 Settings'!$A$8,'員工更表輸入'!$B$5:$B$39,C$144)&lt;=0,Lists!$C$5&lt;SUMIFS('員工更表輸入'!$C$5:$C$39,'員工更表輸入'!$A$5:$A$39,'設定 Settings'!$A$8,'員工更表輸入'!$B$5:$B$39,C$144),Lists!$C$5&gt;=SUMIFS('員工更表輸入'!$D$5:$D$39,'員工更表輸入'!$A$5:$A$39,'設定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Settings'!$A$8,'員工更表輸入'!$B$5:$B$39,C$144)&gt;0,Lists!$C$5&gt;=SUMIFS('員工更表輸入'!$E$5:$E$39,'員工更表輸入'!$A$5:$A$39,'設定 Settings'!$A$8,'員工更表輸入'!$B$5:$B$39,C$144),Lists!$C$5&lt;SUMIFS('員工更表輸入'!$F$5:$F$39,'員工更表輸入'!$A$5:$A$39,'設定 Settings'!$A$8,'員工更表輸入'!$B$5:$B$39,C$144)),"Break","Work"))</f>
        <v/>
      </c>
      <c r="D148" s="24">
        <f>IF(OR(SUMIFS('員工更表輸入'!$D$5:$D$39,'員工更表輸入'!$A$5:$A$39,'設定 Settings'!$A$8,'員工更表輸入'!$B$5:$B$39,D$144)&lt;=0,Lists!$C$5&lt;SUMIFS('員工更表輸入'!$C$5:$C$39,'員工更表輸入'!$A$5:$A$39,'設定 Settings'!$A$8,'員工更表輸入'!$B$5:$B$39,D$144),Lists!$C$5&gt;=SUMIFS('員工更表輸入'!$D$5:$D$39,'員工更表輸入'!$A$5:$A$39,'設定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Settings'!$A$8,'員工更表輸入'!$B$5:$B$39,D$144)&gt;0,Lists!$C$5&gt;=SUMIFS('員工更表輸入'!$E$5:$E$39,'員工更表輸入'!$A$5:$A$39,'設定 Settings'!$A$8,'員工更表輸入'!$B$5:$B$39,D$144),Lists!$C$5&lt;SUMIFS('員工更表輸入'!$F$5:$F$39,'員工更表輸入'!$A$5:$A$39,'設定 Settings'!$A$8,'員工更表輸入'!$B$5:$B$39,D$144)),"Break","Work"))</f>
        <v/>
      </c>
      <c r="E148" s="24">
        <f>IF(OR(SUMIFS('員工更表輸入'!$D$5:$D$39,'員工更表輸入'!$A$5:$A$39,'設定 Settings'!$A$8,'員工更表輸入'!$B$5:$B$39,E$144)&lt;=0,Lists!$C$5&lt;SUMIFS('員工更表輸入'!$C$5:$C$39,'員工更表輸入'!$A$5:$A$39,'設定 Settings'!$A$8,'員工更表輸入'!$B$5:$B$39,E$144),Lists!$C$5&gt;=SUMIFS('員工更表輸入'!$D$5:$D$39,'員工更表輸入'!$A$5:$A$39,'設定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Settings'!$A$8,'員工更表輸入'!$B$5:$B$39,E$144)&gt;0,Lists!$C$5&gt;=SUMIFS('員工更表輸入'!$E$5:$E$39,'員工更表輸入'!$A$5:$A$39,'設定 Settings'!$A$8,'員工更表輸入'!$B$5:$B$39,E$144),Lists!$C$5&lt;SUMIFS('員工更表輸入'!$F$5:$F$39,'員工更表輸入'!$A$5:$A$39,'設定 Settings'!$A$8,'員工更表輸入'!$B$5:$B$39,E$144)),"Break","Work"))</f>
        <v/>
      </c>
      <c r="F148" s="24">
        <f>IF(OR(SUMIFS('員工更表輸入'!$D$5:$D$39,'員工更表輸入'!$A$5:$A$39,'設定 Settings'!$A$8,'員工更表輸入'!$B$5:$B$39,F$144)&lt;=0,Lists!$C$5&lt;SUMIFS('員工更表輸入'!$C$5:$C$39,'員工更表輸入'!$A$5:$A$39,'設定 Settings'!$A$8,'員工更表輸入'!$B$5:$B$39,F$144),Lists!$C$5&gt;=SUMIFS('員工更表輸入'!$D$5:$D$39,'員工更表輸入'!$A$5:$A$39,'設定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Settings'!$A$8,'員工更表輸入'!$B$5:$B$39,F$144)&gt;0,Lists!$C$5&gt;=SUMIFS('員工更表輸入'!$E$5:$E$39,'員工更表輸入'!$A$5:$A$39,'設定 Settings'!$A$8,'員工更表輸入'!$B$5:$B$39,F$144),Lists!$C$5&lt;SUMIFS('員工更表輸入'!$F$5:$F$39,'員工更表輸入'!$A$5:$A$39,'設定 Settings'!$A$8,'員工更表輸入'!$B$5:$B$39,F$144)),"Break","Work"))</f>
        <v/>
      </c>
      <c r="G148" s="24">
        <f>IF(OR(SUMIFS('員工更表輸入'!$D$5:$D$39,'員工更表輸入'!$A$5:$A$39,'設定 Settings'!$A$8,'員工更表輸入'!$B$5:$B$39,G$144)&lt;=0,Lists!$C$5&lt;SUMIFS('員工更表輸入'!$C$5:$C$39,'員工更表輸入'!$A$5:$A$39,'設定 Settings'!$A$8,'員工更表輸入'!$B$5:$B$39,G$144),Lists!$C$5&gt;=SUMIFS('員工更表輸入'!$D$5:$D$39,'員工更表輸入'!$A$5:$A$39,'設定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Settings'!$A$8,'員工更表輸入'!$B$5:$B$39,G$144)&gt;0,Lists!$C$5&gt;=SUMIFS('員工更表輸入'!$E$5:$E$39,'員工更表輸入'!$A$5:$A$39,'設定 Settings'!$A$8,'員工更表輸入'!$B$5:$B$39,G$144),Lists!$C$5&lt;SUMIFS('員工更表輸入'!$F$5:$F$39,'員工更表輸入'!$A$5:$A$39,'設定 Settings'!$A$8,'員工更表輸入'!$B$5:$B$39,G$144)),"Break","Work"))</f>
        <v/>
      </c>
      <c r="H148" s="24">
        <f>IF(OR(SUMIFS('員工更表輸入'!$D$5:$D$39,'員工更表輸入'!$A$5:$A$39,'設定 Settings'!$A$8,'員工更表輸入'!$B$5:$B$39,H$144)&lt;=0,Lists!$C$5&lt;SUMIFS('員工更表輸入'!$C$5:$C$39,'員工更表輸入'!$A$5:$A$39,'設定 Settings'!$A$8,'員工更表輸入'!$B$5:$B$39,H$144),Lists!$C$5&gt;=SUMIFS('員工更表輸入'!$D$5:$D$39,'員工更表輸入'!$A$5:$A$39,'設定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Settings'!$A$8,'員工更表輸入'!$B$5:$B$39,H$144)&gt;0,Lists!$C$5&gt;=SUMIFS('員工更表輸入'!$E$5:$E$39,'員工更表輸入'!$A$5:$A$39,'設定 Settings'!$A$8,'員工更表輸入'!$B$5:$B$39,H$144),Lists!$C$5&lt;SUMIFS('員工更表輸入'!$F$5:$F$39,'員工更表輸入'!$A$5:$A$39,'設定 Settings'!$A$8,'員工更表輸入'!$B$5:$B$39,H$144)),"Break","Work"))</f>
        <v/>
      </c>
    </row>
    <row r="149">
      <c r="A149" s="22" t="inlineStr">
        <is>
          <t>11:45am-12:15pm</t>
        </is>
      </c>
      <c r="B149" s="24">
        <f>IF(OR(SUMIFS('員工更表輸入'!$D$5:$D$39,'員工更表輸入'!$A$5:$A$39,'設定 Settings'!$A$8,'員工更表輸入'!$B$5:$B$39,B$144)&lt;=0,Lists!$C$6&lt;SUMIFS('員工更表輸入'!$C$5:$C$39,'員工更表輸入'!$A$5:$A$39,'設定 Settings'!$A$8,'員工更表輸入'!$B$5:$B$39,B$144),Lists!$C$6&gt;=SUMIFS('員工更表輸入'!$D$5:$D$39,'員工更表輸入'!$A$5:$A$39,'設定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Settings'!$A$8,'員工更表輸入'!$B$5:$B$39,B$144)&gt;0,Lists!$C$6&gt;=SUMIFS('員工更表輸入'!$E$5:$E$39,'員工更表輸入'!$A$5:$A$39,'設定 Settings'!$A$8,'員工更表輸入'!$B$5:$B$39,B$144),Lists!$C$6&lt;SUMIFS('員工更表輸入'!$F$5:$F$39,'員工更表輸入'!$A$5:$A$39,'設定 Settings'!$A$8,'員工更表輸入'!$B$5:$B$39,B$144)),"Break","Work"))</f>
        <v/>
      </c>
      <c r="C149" s="24">
        <f>IF(OR(SUMIFS('員工更表輸入'!$D$5:$D$39,'員工更表輸入'!$A$5:$A$39,'設定 Settings'!$A$8,'員工更表輸入'!$B$5:$B$39,C$144)&lt;=0,Lists!$C$6&lt;SUMIFS('員工更表輸入'!$C$5:$C$39,'員工更表輸入'!$A$5:$A$39,'設定 Settings'!$A$8,'員工更表輸入'!$B$5:$B$39,C$144),Lists!$C$6&gt;=SUMIFS('員工更表輸入'!$D$5:$D$39,'員工更表輸入'!$A$5:$A$39,'設定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Settings'!$A$8,'員工更表輸入'!$B$5:$B$39,C$144)&gt;0,Lists!$C$6&gt;=SUMIFS('員工更表輸入'!$E$5:$E$39,'員工更表輸入'!$A$5:$A$39,'設定 Settings'!$A$8,'員工更表輸入'!$B$5:$B$39,C$144),Lists!$C$6&lt;SUMIFS('員工更表輸入'!$F$5:$F$39,'員工更表輸入'!$A$5:$A$39,'設定 Settings'!$A$8,'員工更表輸入'!$B$5:$B$39,C$144)),"Break","Work"))</f>
        <v/>
      </c>
      <c r="D149" s="24">
        <f>IF(OR(SUMIFS('員工更表輸入'!$D$5:$D$39,'員工更表輸入'!$A$5:$A$39,'設定 Settings'!$A$8,'員工更表輸入'!$B$5:$B$39,D$144)&lt;=0,Lists!$C$6&lt;SUMIFS('員工更表輸入'!$C$5:$C$39,'員工更表輸入'!$A$5:$A$39,'設定 Settings'!$A$8,'員工更表輸入'!$B$5:$B$39,D$144),Lists!$C$6&gt;=SUMIFS('員工更表輸入'!$D$5:$D$39,'員工更表輸入'!$A$5:$A$39,'設定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Settings'!$A$8,'員工更表輸入'!$B$5:$B$39,D$144)&gt;0,Lists!$C$6&gt;=SUMIFS('員工更表輸入'!$E$5:$E$39,'員工更表輸入'!$A$5:$A$39,'設定 Settings'!$A$8,'員工更表輸入'!$B$5:$B$39,D$144),Lists!$C$6&lt;SUMIFS('員工更表輸入'!$F$5:$F$39,'員工更表輸入'!$A$5:$A$39,'設定 Settings'!$A$8,'員工更表輸入'!$B$5:$B$39,D$144)),"Break","Work"))</f>
        <v/>
      </c>
      <c r="E149" s="24">
        <f>IF(OR(SUMIFS('員工更表輸入'!$D$5:$D$39,'員工更表輸入'!$A$5:$A$39,'設定 Settings'!$A$8,'員工更表輸入'!$B$5:$B$39,E$144)&lt;=0,Lists!$C$6&lt;SUMIFS('員工更表輸入'!$C$5:$C$39,'員工更表輸入'!$A$5:$A$39,'設定 Settings'!$A$8,'員工更表輸入'!$B$5:$B$39,E$144),Lists!$C$6&gt;=SUMIFS('員工更表輸入'!$D$5:$D$39,'員工更表輸入'!$A$5:$A$39,'設定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Settings'!$A$8,'員工更表輸入'!$B$5:$B$39,E$144)&gt;0,Lists!$C$6&gt;=SUMIFS('員工更表輸入'!$E$5:$E$39,'員工更表輸入'!$A$5:$A$39,'設定 Settings'!$A$8,'員工更表輸入'!$B$5:$B$39,E$144),Lists!$C$6&lt;SUMIFS('員工更表輸入'!$F$5:$F$39,'員工更表輸入'!$A$5:$A$39,'設定 Settings'!$A$8,'員工更表輸入'!$B$5:$B$39,E$144)),"Break","Work"))</f>
        <v/>
      </c>
      <c r="F149" s="24">
        <f>IF(OR(SUMIFS('員工更表輸入'!$D$5:$D$39,'員工更表輸入'!$A$5:$A$39,'設定 Settings'!$A$8,'員工更表輸入'!$B$5:$B$39,F$144)&lt;=0,Lists!$C$6&lt;SUMIFS('員工更表輸入'!$C$5:$C$39,'員工更表輸入'!$A$5:$A$39,'設定 Settings'!$A$8,'員工更表輸入'!$B$5:$B$39,F$144),Lists!$C$6&gt;=SUMIFS('員工更表輸入'!$D$5:$D$39,'員工更表輸入'!$A$5:$A$39,'設定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Settings'!$A$8,'員工更表輸入'!$B$5:$B$39,F$144)&gt;0,Lists!$C$6&gt;=SUMIFS('員工更表輸入'!$E$5:$E$39,'員工更表輸入'!$A$5:$A$39,'設定 Settings'!$A$8,'員工更表輸入'!$B$5:$B$39,F$144),Lists!$C$6&lt;SUMIFS('員工更表輸入'!$F$5:$F$39,'員工更表輸入'!$A$5:$A$39,'設定 Settings'!$A$8,'員工更表輸入'!$B$5:$B$39,F$144)),"Break","Work"))</f>
        <v/>
      </c>
      <c r="G149" s="24">
        <f>IF(OR(SUMIFS('員工更表輸入'!$D$5:$D$39,'員工更表輸入'!$A$5:$A$39,'設定 Settings'!$A$8,'員工更表輸入'!$B$5:$B$39,G$144)&lt;=0,Lists!$C$6&lt;SUMIFS('員工更表輸入'!$C$5:$C$39,'員工更表輸入'!$A$5:$A$39,'設定 Settings'!$A$8,'員工更表輸入'!$B$5:$B$39,G$144),Lists!$C$6&gt;=SUMIFS('員工更表輸入'!$D$5:$D$39,'員工更表輸入'!$A$5:$A$39,'設定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Settings'!$A$8,'員工更表輸入'!$B$5:$B$39,G$144)&gt;0,Lists!$C$6&gt;=SUMIFS('員工更表輸入'!$E$5:$E$39,'員工更表輸入'!$A$5:$A$39,'設定 Settings'!$A$8,'員工更表輸入'!$B$5:$B$39,G$144),Lists!$C$6&lt;SUMIFS('員工更表輸入'!$F$5:$F$39,'員工更表輸入'!$A$5:$A$39,'設定 Settings'!$A$8,'員工更表輸入'!$B$5:$B$39,G$144)),"Break","Work"))</f>
        <v/>
      </c>
      <c r="H149" s="24">
        <f>IF(OR(SUMIFS('員工更表輸入'!$D$5:$D$39,'員工更表輸入'!$A$5:$A$39,'設定 Settings'!$A$8,'員工更表輸入'!$B$5:$B$39,H$144)&lt;=0,Lists!$C$6&lt;SUMIFS('員工更表輸入'!$C$5:$C$39,'員工更表輸入'!$A$5:$A$39,'設定 Settings'!$A$8,'員工更表輸入'!$B$5:$B$39,H$144),Lists!$C$6&gt;=SUMIFS('員工更表輸入'!$D$5:$D$39,'員工更表輸入'!$A$5:$A$39,'設定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Settings'!$A$8,'員工更表輸入'!$B$5:$B$39,H$144)&gt;0,Lists!$C$6&gt;=SUMIFS('員工更表輸入'!$E$5:$E$39,'員工更表輸入'!$A$5:$A$39,'設定 Settings'!$A$8,'員工更表輸入'!$B$5:$B$39,H$144),Lists!$C$6&lt;SUMIFS('員工更表輸入'!$F$5:$F$39,'員工更表輸入'!$A$5:$A$39,'設定 Settings'!$A$8,'員工更表輸入'!$B$5:$B$39,H$144)),"Break","Work"))</f>
        <v/>
      </c>
    </row>
    <row r="150">
      <c r="A150" s="22" t="inlineStr">
        <is>
          <t>12:15pm-12:45pm</t>
        </is>
      </c>
      <c r="B150" s="24">
        <f>IF(OR(SUMIFS('員工更表輸入'!$D$5:$D$39,'員工更表輸入'!$A$5:$A$39,'設定 Settings'!$A$8,'員工更表輸入'!$B$5:$B$39,B$144)&lt;=0,Lists!$C$7&lt;SUMIFS('員工更表輸入'!$C$5:$C$39,'員工更表輸入'!$A$5:$A$39,'設定 Settings'!$A$8,'員工更表輸入'!$B$5:$B$39,B$144),Lists!$C$7&gt;=SUMIFS('員工更表輸入'!$D$5:$D$39,'員工更表輸入'!$A$5:$A$39,'設定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Settings'!$A$8,'員工更表輸入'!$B$5:$B$39,B$144)&gt;0,Lists!$C$7&gt;=SUMIFS('員工更表輸入'!$E$5:$E$39,'員工更表輸入'!$A$5:$A$39,'設定 Settings'!$A$8,'員工更表輸入'!$B$5:$B$39,B$144),Lists!$C$7&lt;SUMIFS('員工更表輸入'!$F$5:$F$39,'員工更表輸入'!$A$5:$A$39,'設定 Settings'!$A$8,'員工更表輸入'!$B$5:$B$39,B$144)),"Break","Work"))</f>
        <v/>
      </c>
      <c r="C150" s="24">
        <f>IF(OR(SUMIFS('員工更表輸入'!$D$5:$D$39,'員工更表輸入'!$A$5:$A$39,'設定 Settings'!$A$8,'員工更表輸入'!$B$5:$B$39,C$144)&lt;=0,Lists!$C$7&lt;SUMIFS('員工更表輸入'!$C$5:$C$39,'員工更表輸入'!$A$5:$A$39,'設定 Settings'!$A$8,'員工更表輸入'!$B$5:$B$39,C$144),Lists!$C$7&gt;=SUMIFS('員工更表輸入'!$D$5:$D$39,'員工更表輸入'!$A$5:$A$39,'設定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Settings'!$A$8,'員工更表輸入'!$B$5:$B$39,C$144)&gt;0,Lists!$C$7&gt;=SUMIFS('員工更表輸入'!$E$5:$E$39,'員工更表輸入'!$A$5:$A$39,'設定 Settings'!$A$8,'員工更表輸入'!$B$5:$B$39,C$144),Lists!$C$7&lt;SUMIFS('員工更表輸入'!$F$5:$F$39,'員工更表輸入'!$A$5:$A$39,'設定 Settings'!$A$8,'員工更表輸入'!$B$5:$B$39,C$144)),"Break","Work"))</f>
        <v/>
      </c>
      <c r="D150" s="24">
        <f>IF(OR(SUMIFS('員工更表輸入'!$D$5:$D$39,'員工更表輸入'!$A$5:$A$39,'設定 Settings'!$A$8,'員工更表輸入'!$B$5:$B$39,D$144)&lt;=0,Lists!$C$7&lt;SUMIFS('員工更表輸入'!$C$5:$C$39,'員工更表輸入'!$A$5:$A$39,'設定 Settings'!$A$8,'員工更表輸入'!$B$5:$B$39,D$144),Lists!$C$7&gt;=SUMIFS('員工更表輸入'!$D$5:$D$39,'員工更表輸入'!$A$5:$A$39,'設定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Settings'!$A$8,'員工更表輸入'!$B$5:$B$39,D$144)&gt;0,Lists!$C$7&gt;=SUMIFS('員工更表輸入'!$E$5:$E$39,'員工更表輸入'!$A$5:$A$39,'設定 Settings'!$A$8,'員工更表輸入'!$B$5:$B$39,D$144),Lists!$C$7&lt;SUMIFS('員工更表輸入'!$F$5:$F$39,'員工更表輸入'!$A$5:$A$39,'設定 Settings'!$A$8,'員工更表輸入'!$B$5:$B$39,D$144)),"Break","Work"))</f>
        <v/>
      </c>
      <c r="E150" s="24">
        <f>IF(OR(SUMIFS('員工更表輸入'!$D$5:$D$39,'員工更表輸入'!$A$5:$A$39,'設定 Settings'!$A$8,'員工更表輸入'!$B$5:$B$39,E$144)&lt;=0,Lists!$C$7&lt;SUMIFS('員工更表輸入'!$C$5:$C$39,'員工更表輸入'!$A$5:$A$39,'設定 Settings'!$A$8,'員工更表輸入'!$B$5:$B$39,E$144),Lists!$C$7&gt;=SUMIFS('員工更表輸入'!$D$5:$D$39,'員工更表輸入'!$A$5:$A$39,'設定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Settings'!$A$8,'員工更表輸入'!$B$5:$B$39,E$144)&gt;0,Lists!$C$7&gt;=SUMIFS('員工更表輸入'!$E$5:$E$39,'員工更表輸入'!$A$5:$A$39,'設定 Settings'!$A$8,'員工更表輸入'!$B$5:$B$39,E$144),Lists!$C$7&lt;SUMIFS('員工更表輸入'!$F$5:$F$39,'員工更表輸入'!$A$5:$A$39,'設定 Settings'!$A$8,'員工更表輸入'!$B$5:$B$39,E$144)),"Break","Work"))</f>
        <v/>
      </c>
      <c r="F150" s="24">
        <f>IF(OR(SUMIFS('員工更表輸入'!$D$5:$D$39,'員工更表輸入'!$A$5:$A$39,'設定 Settings'!$A$8,'員工更表輸入'!$B$5:$B$39,F$144)&lt;=0,Lists!$C$7&lt;SUMIFS('員工更表輸入'!$C$5:$C$39,'員工更表輸入'!$A$5:$A$39,'設定 Settings'!$A$8,'員工更表輸入'!$B$5:$B$39,F$144),Lists!$C$7&gt;=SUMIFS('員工更表輸入'!$D$5:$D$39,'員工更表輸入'!$A$5:$A$39,'設定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Settings'!$A$8,'員工更表輸入'!$B$5:$B$39,F$144)&gt;0,Lists!$C$7&gt;=SUMIFS('員工更表輸入'!$E$5:$E$39,'員工更表輸入'!$A$5:$A$39,'設定 Settings'!$A$8,'員工更表輸入'!$B$5:$B$39,F$144),Lists!$C$7&lt;SUMIFS('員工更表輸入'!$F$5:$F$39,'員工更表輸入'!$A$5:$A$39,'設定 Settings'!$A$8,'員工更表輸入'!$B$5:$B$39,F$144)),"Break","Work"))</f>
        <v/>
      </c>
      <c r="G150" s="24">
        <f>IF(OR(SUMIFS('員工更表輸入'!$D$5:$D$39,'員工更表輸入'!$A$5:$A$39,'設定 Settings'!$A$8,'員工更表輸入'!$B$5:$B$39,G$144)&lt;=0,Lists!$C$7&lt;SUMIFS('員工更表輸入'!$C$5:$C$39,'員工更表輸入'!$A$5:$A$39,'設定 Settings'!$A$8,'員工更表輸入'!$B$5:$B$39,G$144),Lists!$C$7&gt;=SUMIFS('員工更表輸入'!$D$5:$D$39,'員工更表輸入'!$A$5:$A$39,'設定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Settings'!$A$8,'員工更表輸入'!$B$5:$B$39,G$144)&gt;0,Lists!$C$7&gt;=SUMIFS('員工更表輸入'!$E$5:$E$39,'員工更表輸入'!$A$5:$A$39,'設定 Settings'!$A$8,'員工更表輸入'!$B$5:$B$39,G$144),Lists!$C$7&lt;SUMIFS('員工更表輸入'!$F$5:$F$39,'員工更表輸入'!$A$5:$A$39,'設定 Settings'!$A$8,'員工更表輸入'!$B$5:$B$39,G$144)),"Break","Work"))</f>
        <v/>
      </c>
      <c r="H150" s="24">
        <f>IF(OR(SUMIFS('員工更表輸入'!$D$5:$D$39,'員工更表輸入'!$A$5:$A$39,'設定 Settings'!$A$8,'員工更表輸入'!$B$5:$B$39,H$144)&lt;=0,Lists!$C$7&lt;SUMIFS('員工更表輸入'!$C$5:$C$39,'員工更表輸入'!$A$5:$A$39,'設定 Settings'!$A$8,'員工更表輸入'!$B$5:$B$39,H$144),Lists!$C$7&gt;=SUMIFS('員工更表輸入'!$D$5:$D$39,'員工更表輸入'!$A$5:$A$39,'設定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Settings'!$A$8,'員工更表輸入'!$B$5:$B$39,H$144)&gt;0,Lists!$C$7&gt;=SUMIFS('員工更表輸入'!$E$5:$E$39,'員工更表輸入'!$A$5:$A$39,'設定 Settings'!$A$8,'員工更表輸入'!$B$5:$B$39,H$144),Lists!$C$7&lt;SUMIFS('員工更表輸入'!$F$5:$F$39,'員工更表輸入'!$A$5:$A$39,'設定 Settings'!$A$8,'員工更表輸入'!$B$5:$B$39,H$144)),"Break","Work"))</f>
        <v/>
      </c>
    </row>
    <row r="151">
      <c r="A151" s="22" t="inlineStr">
        <is>
          <t>12:45pm-1:15pm</t>
        </is>
      </c>
      <c r="B151" s="24">
        <f>IF(OR(SUMIFS('員工更表輸入'!$D$5:$D$39,'員工更表輸入'!$A$5:$A$39,'設定 Settings'!$A$8,'員工更表輸入'!$B$5:$B$39,B$144)&lt;=0,Lists!$C$8&lt;SUMIFS('員工更表輸入'!$C$5:$C$39,'員工更表輸入'!$A$5:$A$39,'設定 Settings'!$A$8,'員工更表輸入'!$B$5:$B$39,B$144),Lists!$C$8&gt;=SUMIFS('員工更表輸入'!$D$5:$D$39,'員工更表輸入'!$A$5:$A$39,'設定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Settings'!$A$8,'員工更表輸入'!$B$5:$B$39,B$144)&gt;0,Lists!$C$8&gt;=SUMIFS('員工更表輸入'!$E$5:$E$39,'員工更表輸入'!$A$5:$A$39,'設定 Settings'!$A$8,'員工更表輸入'!$B$5:$B$39,B$144),Lists!$C$8&lt;SUMIFS('員工更表輸入'!$F$5:$F$39,'員工更表輸入'!$A$5:$A$39,'設定 Settings'!$A$8,'員工更表輸入'!$B$5:$B$39,B$144)),"Break","Work"))</f>
        <v/>
      </c>
      <c r="C151" s="24">
        <f>IF(OR(SUMIFS('員工更表輸入'!$D$5:$D$39,'員工更表輸入'!$A$5:$A$39,'設定 Settings'!$A$8,'員工更表輸入'!$B$5:$B$39,C$144)&lt;=0,Lists!$C$8&lt;SUMIFS('員工更表輸入'!$C$5:$C$39,'員工更表輸入'!$A$5:$A$39,'設定 Settings'!$A$8,'員工更表輸入'!$B$5:$B$39,C$144),Lists!$C$8&gt;=SUMIFS('員工更表輸入'!$D$5:$D$39,'員工更表輸入'!$A$5:$A$39,'設定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Settings'!$A$8,'員工更表輸入'!$B$5:$B$39,C$144)&gt;0,Lists!$C$8&gt;=SUMIFS('員工更表輸入'!$E$5:$E$39,'員工更表輸入'!$A$5:$A$39,'設定 Settings'!$A$8,'員工更表輸入'!$B$5:$B$39,C$144),Lists!$C$8&lt;SUMIFS('員工更表輸入'!$F$5:$F$39,'員工更表輸入'!$A$5:$A$39,'設定 Settings'!$A$8,'員工更表輸入'!$B$5:$B$39,C$144)),"Break","Work"))</f>
        <v/>
      </c>
      <c r="D151" s="24">
        <f>IF(OR(SUMIFS('員工更表輸入'!$D$5:$D$39,'員工更表輸入'!$A$5:$A$39,'設定 Settings'!$A$8,'員工更表輸入'!$B$5:$B$39,D$144)&lt;=0,Lists!$C$8&lt;SUMIFS('員工更表輸入'!$C$5:$C$39,'員工更表輸入'!$A$5:$A$39,'設定 Settings'!$A$8,'員工更表輸入'!$B$5:$B$39,D$144),Lists!$C$8&gt;=SUMIFS('員工更表輸入'!$D$5:$D$39,'員工更表輸入'!$A$5:$A$39,'設定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Settings'!$A$8,'員工更表輸入'!$B$5:$B$39,D$144)&gt;0,Lists!$C$8&gt;=SUMIFS('員工更表輸入'!$E$5:$E$39,'員工更表輸入'!$A$5:$A$39,'設定 Settings'!$A$8,'員工更表輸入'!$B$5:$B$39,D$144),Lists!$C$8&lt;SUMIFS('員工更表輸入'!$F$5:$F$39,'員工更表輸入'!$A$5:$A$39,'設定 Settings'!$A$8,'員工更表輸入'!$B$5:$B$39,D$144)),"Break","Work"))</f>
        <v/>
      </c>
      <c r="E151" s="24">
        <f>IF(OR(SUMIFS('員工更表輸入'!$D$5:$D$39,'員工更表輸入'!$A$5:$A$39,'設定 Settings'!$A$8,'員工更表輸入'!$B$5:$B$39,E$144)&lt;=0,Lists!$C$8&lt;SUMIFS('員工更表輸入'!$C$5:$C$39,'員工更表輸入'!$A$5:$A$39,'設定 Settings'!$A$8,'員工更表輸入'!$B$5:$B$39,E$144),Lists!$C$8&gt;=SUMIFS('員工更表輸入'!$D$5:$D$39,'員工更表輸入'!$A$5:$A$39,'設定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Settings'!$A$8,'員工更表輸入'!$B$5:$B$39,E$144)&gt;0,Lists!$C$8&gt;=SUMIFS('員工更表輸入'!$E$5:$E$39,'員工更表輸入'!$A$5:$A$39,'設定 Settings'!$A$8,'員工更表輸入'!$B$5:$B$39,E$144),Lists!$C$8&lt;SUMIFS('員工更表輸入'!$F$5:$F$39,'員工更表輸入'!$A$5:$A$39,'設定 Settings'!$A$8,'員工更表輸入'!$B$5:$B$39,E$144)),"Break","Work"))</f>
        <v/>
      </c>
      <c r="F151" s="24">
        <f>IF(OR(SUMIFS('員工更表輸入'!$D$5:$D$39,'員工更表輸入'!$A$5:$A$39,'設定 Settings'!$A$8,'員工更表輸入'!$B$5:$B$39,F$144)&lt;=0,Lists!$C$8&lt;SUMIFS('員工更表輸入'!$C$5:$C$39,'員工更表輸入'!$A$5:$A$39,'設定 Settings'!$A$8,'員工更表輸入'!$B$5:$B$39,F$144),Lists!$C$8&gt;=SUMIFS('員工更表輸入'!$D$5:$D$39,'員工更表輸入'!$A$5:$A$39,'設定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Settings'!$A$8,'員工更表輸入'!$B$5:$B$39,F$144)&gt;0,Lists!$C$8&gt;=SUMIFS('員工更表輸入'!$E$5:$E$39,'員工更表輸入'!$A$5:$A$39,'設定 Settings'!$A$8,'員工更表輸入'!$B$5:$B$39,F$144),Lists!$C$8&lt;SUMIFS('員工更表輸入'!$F$5:$F$39,'員工更表輸入'!$A$5:$A$39,'設定 Settings'!$A$8,'員工更表輸入'!$B$5:$B$39,F$144)),"Break","Work"))</f>
        <v/>
      </c>
      <c r="G151" s="24">
        <f>IF(OR(SUMIFS('員工更表輸入'!$D$5:$D$39,'員工更表輸入'!$A$5:$A$39,'設定 Settings'!$A$8,'員工更表輸入'!$B$5:$B$39,G$144)&lt;=0,Lists!$C$8&lt;SUMIFS('員工更表輸入'!$C$5:$C$39,'員工更表輸入'!$A$5:$A$39,'設定 Settings'!$A$8,'員工更表輸入'!$B$5:$B$39,G$144),Lists!$C$8&gt;=SUMIFS('員工更表輸入'!$D$5:$D$39,'員工更表輸入'!$A$5:$A$39,'設定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Settings'!$A$8,'員工更表輸入'!$B$5:$B$39,G$144)&gt;0,Lists!$C$8&gt;=SUMIFS('員工更表輸入'!$E$5:$E$39,'員工更表輸入'!$A$5:$A$39,'設定 Settings'!$A$8,'員工更表輸入'!$B$5:$B$39,G$144),Lists!$C$8&lt;SUMIFS('員工更表輸入'!$F$5:$F$39,'員工更表輸入'!$A$5:$A$39,'設定 Settings'!$A$8,'員工更表輸入'!$B$5:$B$39,G$144)),"Break","Work"))</f>
        <v/>
      </c>
      <c r="H151" s="24">
        <f>IF(OR(SUMIFS('員工更表輸入'!$D$5:$D$39,'員工更表輸入'!$A$5:$A$39,'設定 Settings'!$A$8,'員工更表輸入'!$B$5:$B$39,H$144)&lt;=0,Lists!$C$8&lt;SUMIFS('員工更表輸入'!$C$5:$C$39,'員工更表輸入'!$A$5:$A$39,'設定 Settings'!$A$8,'員工更表輸入'!$B$5:$B$39,H$144),Lists!$C$8&gt;=SUMIFS('員工更表輸入'!$D$5:$D$39,'員工更表輸入'!$A$5:$A$39,'設定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Settings'!$A$8,'員工更表輸入'!$B$5:$B$39,H$144)&gt;0,Lists!$C$8&gt;=SUMIFS('員工更表輸入'!$E$5:$E$39,'員工更表輸入'!$A$5:$A$39,'設定 Settings'!$A$8,'員工更表輸入'!$B$5:$B$39,H$144),Lists!$C$8&lt;SUMIFS('員工更表輸入'!$F$5:$F$39,'員工更表輸入'!$A$5:$A$39,'設定 Settings'!$A$8,'員工更表輸入'!$B$5:$B$39,H$144)),"Break","Work"))</f>
        <v/>
      </c>
    </row>
    <row r="152">
      <c r="A152" s="22" t="inlineStr">
        <is>
          <t>1:15pm-1:45pm</t>
        </is>
      </c>
      <c r="B152" s="24">
        <f>IF(OR(SUMIFS('員工更表輸入'!$D$5:$D$39,'員工更表輸入'!$A$5:$A$39,'設定 Settings'!$A$8,'員工更表輸入'!$B$5:$B$39,B$144)&lt;=0,Lists!$C$9&lt;SUMIFS('員工更表輸入'!$C$5:$C$39,'員工更表輸入'!$A$5:$A$39,'設定 Settings'!$A$8,'員工更表輸入'!$B$5:$B$39,B$144),Lists!$C$9&gt;=SUMIFS('員工更表輸入'!$D$5:$D$39,'員工更表輸入'!$A$5:$A$39,'設定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Settings'!$A$8,'員工更表輸入'!$B$5:$B$39,B$144)&gt;0,Lists!$C$9&gt;=SUMIFS('員工更表輸入'!$E$5:$E$39,'員工更表輸入'!$A$5:$A$39,'設定 Settings'!$A$8,'員工更表輸入'!$B$5:$B$39,B$144),Lists!$C$9&lt;SUMIFS('員工更表輸入'!$F$5:$F$39,'員工更表輸入'!$A$5:$A$39,'設定 Settings'!$A$8,'員工更表輸入'!$B$5:$B$39,B$144)),"Break","Work"))</f>
        <v/>
      </c>
      <c r="C152" s="24">
        <f>IF(OR(SUMIFS('員工更表輸入'!$D$5:$D$39,'員工更表輸入'!$A$5:$A$39,'設定 Settings'!$A$8,'員工更表輸入'!$B$5:$B$39,C$144)&lt;=0,Lists!$C$9&lt;SUMIFS('員工更表輸入'!$C$5:$C$39,'員工更表輸入'!$A$5:$A$39,'設定 Settings'!$A$8,'員工更表輸入'!$B$5:$B$39,C$144),Lists!$C$9&gt;=SUMIFS('員工更表輸入'!$D$5:$D$39,'員工更表輸入'!$A$5:$A$39,'設定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Settings'!$A$8,'員工更表輸入'!$B$5:$B$39,C$144)&gt;0,Lists!$C$9&gt;=SUMIFS('員工更表輸入'!$E$5:$E$39,'員工更表輸入'!$A$5:$A$39,'設定 Settings'!$A$8,'員工更表輸入'!$B$5:$B$39,C$144),Lists!$C$9&lt;SUMIFS('員工更表輸入'!$F$5:$F$39,'員工更表輸入'!$A$5:$A$39,'設定 Settings'!$A$8,'員工更表輸入'!$B$5:$B$39,C$144)),"Break","Work"))</f>
        <v/>
      </c>
      <c r="D152" s="24">
        <f>IF(OR(SUMIFS('員工更表輸入'!$D$5:$D$39,'員工更表輸入'!$A$5:$A$39,'設定 Settings'!$A$8,'員工更表輸入'!$B$5:$B$39,D$144)&lt;=0,Lists!$C$9&lt;SUMIFS('員工更表輸入'!$C$5:$C$39,'員工更表輸入'!$A$5:$A$39,'設定 Settings'!$A$8,'員工更表輸入'!$B$5:$B$39,D$144),Lists!$C$9&gt;=SUMIFS('員工更表輸入'!$D$5:$D$39,'員工更表輸入'!$A$5:$A$39,'設定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Settings'!$A$8,'員工更表輸入'!$B$5:$B$39,D$144)&gt;0,Lists!$C$9&gt;=SUMIFS('員工更表輸入'!$E$5:$E$39,'員工更表輸入'!$A$5:$A$39,'設定 Settings'!$A$8,'員工更表輸入'!$B$5:$B$39,D$144),Lists!$C$9&lt;SUMIFS('員工更表輸入'!$F$5:$F$39,'員工更表輸入'!$A$5:$A$39,'設定 Settings'!$A$8,'員工更表輸入'!$B$5:$B$39,D$144)),"Break","Work"))</f>
        <v/>
      </c>
      <c r="E152" s="24">
        <f>IF(OR(SUMIFS('員工更表輸入'!$D$5:$D$39,'員工更表輸入'!$A$5:$A$39,'設定 Settings'!$A$8,'員工更表輸入'!$B$5:$B$39,E$144)&lt;=0,Lists!$C$9&lt;SUMIFS('員工更表輸入'!$C$5:$C$39,'員工更表輸入'!$A$5:$A$39,'設定 Settings'!$A$8,'員工更表輸入'!$B$5:$B$39,E$144),Lists!$C$9&gt;=SUMIFS('員工更表輸入'!$D$5:$D$39,'員工更表輸入'!$A$5:$A$39,'設定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Settings'!$A$8,'員工更表輸入'!$B$5:$B$39,E$144)&gt;0,Lists!$C$9&gt;=SUMIFS('員工更表輸入'!$E$5:$E$39,'員工更表輸入'!$A$5:$A$39,'設定 Settings'!$A$8,'員工更表輸入'!$B$5:$B$39,E$144),Lists!$C$9&lt;SUMIFS('員工更表輸入'!$F$5:$F$39,'員工更表輸入'!$A$5:$A$39,'設定 Settings'!$A$8,'員工更表輸入'!$B$5:$B$39,E$144)),"Break","Work"))</f>
        <v/>
      </c>
      <c r="F152" s="24">
        <f>IF(OR(SUMIFS('員工更表輸入'!$D$5:$D$39,'員工更表輸入'!$A$5:$A$39,'設定 Settings'!$A$8,'員工更表輸入'!$B$5:$B$39,F$144)&lt;=0,Lists!$C$9&lt;SUMIFS('員工更表輸入'!$C$5:$C$39,'員工更表輸入'!$A$5:$A$39,'設定 Settings'!$A$8,'員工更表輸入'!$B$5:$B$39,F$144),Lists!$C$9&gt;=SUMIFS('員工更表輸入'!$D$5:$D$39,'員工更表輸入'!$A$5:$A$39,'設定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Settings'!$A$8,'員工更表輸入'!$B$5:$B$39,F$144)&gt;0,Lists!$C$9&gt;=SUMIFS('員工更表輸入'!$E$5:$E$39,'員工更表輸入'!$A$5:$A$39,'設定 Settings'!$A$8,'員工更表輸入'!$B$5:$B$39,F$144),Lists!$C$9&lt;SUMIFS('員工更表輸入'!$F$5:$F$39,'員工更表輸入'!$A$5:$A$39,'設定 Settings'!$A$8,'員工更表輸入'!$B$5:$B$39,F$144)),"Break","Work"))</f>
        <v/>
      </c>
      <c r="G152" s="24">
        <f>IF(OR(SUMIFS('員工更表輸入'!$D$5:$D$39,'員工更表輸入'!$A$5:$A$39,'設定 Settings'!$A$8,'員工更表輸入'!$B$5:$B$39,G$144)&lt;=0,Lists!$C$9&lt;SUMIFS('員工更表輸入'!$C$5:$C$39,'員工更表輸入'!$A$5:$A$39,'設定 Settings'!$A$8,'員工更表輸入'!$B$5:$B$39,G$144),Lists!$C$9&gt;=SUMIFS('員工更表輸入'!$D$5:$D$39,'員工更表輸入'!$A$5:$A$39,'設定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Settings'!$A$8,'員工更表輸入'!$B$5:$B$39,G$144)&gt;0,Lists!$C$9&gt;=SUMIFS('員工更表輸入'!$E$5:$E$39,'員工更表輸入'!$A$5:$A$39,'設定 Settings'!$A$8,'員工更表輸入'!$B$5:$B$39,G$144),Lists!$C$9&lt;SUMIFS('員工更表輸入'!$F$5:$F$39,'員工更表輸入'!$A$5:$A$39,'設定 Settings'!$A$8,'員工更表輸入'!$B$5:$B$39,G$144)),"Break","Work"))</f>
        <v/>
      </c>
      <c r="H152" s="24">
        <f>IF(OR(SUMIFS('員工更表輸入'!$D$5:$D$39,'員工更表輸入'!$A$5:$A$39,'設定 Settings'!$A$8,'員工更表輸入'!$B$5:$B$39,H$144)&lt;=0,Lists!$C$9&lt;SUMIFS('員工更表輸入'!$C$5:$C$39,'員工更表輸入'!$A$5:$A$39,'設定 Settings'!$A$8,'員工更表輸入'!$B$5:$B$39,H$144),Lists!$C$9&gt;=SUMIFS('員工更表輸入'!$D$5:$D$39,'員工更表輸入'!$A$5:$A$39,'設定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Settings'!$A$8,'員工更表輸入'!$B$5:$B$39,H$144)&gt;0,Lists!$C$9&gt;=SUMIFS('員工更表輸入'!$E$5:$E$39,'員工更表輸入'!$A$5:$A$39,'設定 Settings'!$A$8,'員工更表輸入'!$B$5:$B$39,H$144),Lists!$C$9&lt;SUMIFS('員工更表輸入'!$F$5:$F$39,'員工更表輸入'!$A$5:$A$39,'設定 Settings'!$A$8,'員工更表輸入'!$B$5:$B$39,H$144)),"Break","Work"))</f>
        <v/>
      </c>
    </row>
    <row r="153">
      <c r="A153" s="22" t="inlineStr">
        <is>
          <t>1:45pm-2:15pm</t>
        </is>
      </c>
      <c r="B153" s="24">
        <f>IF(OR(SUMIFS('員工更表輸入'!$D$5:$D$39,'員工更表輸入'!$A$5:$A$39,'設定 Settings'!$A$8,'員工更表輸入'!$B$5:$B$39,B$144)&lt;=0,Lists!$C$10&lt;SUMIFS('員工更表輸入'!$C$5:$C$39,'員工更表輸入'!$A$5:$A$39,'設定 Settings'!$A$8,'員工更表輸入'!$B$5:$B$39,B$144),Lists!$C$10&gt;=SUMIFS('員工更表輸入'!$D$5:$D$39,'員工更表輸入'!$A$5:$A$39,'設定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Settings'!$A$8,'員工更表輸入'!$B$5:$B$39,B$144)&gt;0,Lists!$C$10&gt;=SUMIFS('員工更表輸入'!$E$5:$E$39,'員工更表輸入'!$A$5:$A$39,'設定 Settings'!$A$8,'員工更表輸入'!$B$5:$B$39,B$144),Lists!$C$10&lt;SUMIFS('員工更表輸入'!$F$5:$F$39,'員工更表輸入'!$A$5:$A$39,'設定 Settings'!$A$8,'員工更表輸入'!$B$5:$B$39,B$144)),"Break","Work"))</f>
        <v/>
      </c>
      <c r="C153" s="24">
        <f>IF(OR(SUMIFS('員工更表輸入'!$D$5:$D$39,'員工更表輸入'!$A$5:$A$39,'設定 Settings'!$A$8,'員工更表輸入'!$B$5:$B$39,C$144)&lt;=0,Lists!$C$10&lt;SUMIFS('員工更表輸入'!$C$5:$C$39,'員工更表輸入'!$A$5:$A$39,'設定 Settings'!$A$8,'員工更表輸入'!$B$5:$B$39,C$144),Lists!$C$10&gt;=SUMIFS('員工更表輸入'!$D$5:$D$39,'員工更表輸入'!$A$5:$A$39,'設定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Settings'!$A$8,'員工更表輸入'!$B$5:$B$39,C$144)&gt;0,Lists!$C$10&gt;=SUMIFS('員工更表輸入'!$E$5:$E$39,'員工更表輸入'!$A$5:$A$39,'設定 Settings'!$A$8,'員工更表輸入'!$B$5:$B$39,C$144),Lists!$C$10&lt;SUMIFS('員工更表輸入'!$F$5:$F$39,'員工更表輸入'!$A$5:$A$39,'設定 Settings'!$A$8,'員工更表輸入'!$B$5:$B$39,C$144)),"Break","Work"))</f>
        <v/>
      </c>
      <c r="D153" s="24">
        <f>IF(OR(SUMIFS('員工更表輸入'!$D$5:$D$39,'員工更表輸入'!$A$5:$A$39,'設定 Settings'!$A$8,'員工更表輸入'!$B$5:$B$39,D$144)&lt;=0,Lists!$C$10&lt;SUMIFS('員工更表輸入'!$C$5:$C$39,'員工更表輸入'!$A$5:$A$39,'設定 Settings'!$A$8,'員工更表輸入'!$B$5:$B$39,D$144),Lists!$C$10&gt;=SUMIFS('員工更表輸入'!$D$5:$D$39,'員工更表輸入'!$A$5:$A$39,'設定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Settings'!$A$8,'員工更表輸入'!$B$5:$B$39,D$144)&gt;0,Lists!$C$10&gt;=SUMIFS('員工更表輸入'!$E$5:$E$39,'員工更表輸入'!$A$5:$A$39,'設定 Settings'!$A$8,'員工更表輸入'!$B$5:$B$39,D$144),Lists!$C$10&lt;SUMIFS('員工更表輸入'!$F$5:$F$39,'員工更表輸入'!$A$5:$A$39,'設定 Settings'!$A$8,'員工更表輸入'!$B$5:$B$39,D$144)),"Break","Work"))</f>
        <v/>
      </c>
      <c r="E153" s="24">
        <f>IF(OR(SUMIFS('員工更表輸入'!$D$5:$D$39,'員工更表輸入'!$A$5:$A$39,'設定 Settings'!$A$8,'員工更表輸入'!$B$5:$B$39,E$144)&lt;=0,Lists!$C$10&lt;SUMIFS('員工更表輸入'!$C$5:$C$39,'員工更表輸入'!$A$5:$A$39,'設定 Settings'!$A$8,'員工更表輸入'!$B$5:$B$39,E$144),Lists!$C$10&gt;=SUMIFS('員工更表輸入'!$D$5:$D$39,'員工更表輸入'!$A$5:$A$39,'設定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Settings'!$A$8,'員工更表輸入'!$B$5:$B$39,E$144)&gt;0,Lists!$C$10&gt;=SUMIFS('員工更表輸入'!$E$5:$E$39,'員工更表輸入'!$A$5:$A$39,'設定 Settings'!$A$8,'員工更表輸入'!$B$5:$B$39,E$144),Lists!$C$10&lt;SUMIFS('員工更表輸入'!$F$5:$F$39,'員工更表輸入'!$A$5:$A$39,'設定 Settings'!$A$8,'員工更表輸入'!$B$5:$B$39,E$144)),"Break","Work"))</f>
        <v/>
      </c>
      <c r="F153" s="24">
        <f>IF(OR(SUMIFS('員工更表輸入'!$D$5:$D$39,'員工更表輸入'!$A$5:$A$39,'設定 Settings'!$A$8,'員工更表輸入'!$B$5:$B$39,F$144)&lt;=0,Lists!$C$10&lt;SUMIFS('員工更表輸入'!$C$5:$C$39,'員工更表輸入'!$A$5:$A$39,'設定 Settings'!$A$8,'員工更表輸入'!$B$5:$B$39,F$144),Lists!$C$10&gt;=SUMIFS('員工更表輸入'!$D$5:$D$39,'員工更表輸入'!$A$5:$A$39,'設定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Settings'!$A$8,'員工更表輸入'!$B$5:$B$39,F$144)&gt;0,Lists!$C$10&gt;=SUMIFS('員工更表輸入'!$E$5:$E$39,'員工更表輸入'!$A$5:$A$39,'設定 Settings'!$A$8,'員工更表輸入'!$B$5:$B$39,F$144),Lists!$C$10&lt;SUMIFS('員工更表輸入'!$F$5:$F$39,'員工更表輸入'!$A$5:$A$39,'設定 Settings'!$A$8,'員工更表輸入'!$B$5:$B$39,F$144)),"Break","Work"))</f>
        <v/>
      </c>
      <c r="G153" s="24">
        <f>IF(OR(SUMIFS('員工更表輸入'!$D$5:$D$39,'員工更表輸入'!$A$5:$A$39,'設定 Settings'!$A$8,'員工更表輸入'!$B$5:$B$39,G$144)&lt;=0,Lists!$C$10&lt;SUMIFS('員工更表輸入'!$C$5:$C$39,'員工更表輸入'!$A$5:$A$39,'設定 Settings'!$A$8,'員工更表輸入'!$B$5:$B$39,G$144),Lists!$C$10&gt;=SUMIFS('員工更表輸入'!$D$5:$D$39,'員工更表輸入'!$A$5:$A$39,'設定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Settings'!$A$8,'員工更表輸入'!$B$5:$B$39,G$144)&gt;0,Lists!$C$10&gt;=SUMIFS('員工更表輸入'!$E$5:$E$39,'員工更表輸入'!$A$5:$A$39,'設定 Settings'!$A$8,'員工更表輸入'!$B$5:$B$39,G$144),Lists!$C$10&lt;SUMIFS('員工更表輸入'!$F$5:$F$39,'員工更表輸入'!$A$5:$A$39,'設定 Settings'!$A$8,'員工更表輸入'!$B$5:$B$39,G$144)),"Break","Work"))</f>
        <v/>
      </c>
      <c r="H153" s="24">
        <f>IF(OR(SUMIFS('員工更表輸入'!$D$5:$D$39,'員工更表輸入'!$A$5:$A$39,'設定 Settings'!$A$8,'員工更表輸入'!$B$5:$B$39,H$144)&lt;=0,Lists!$C$10&lt;SUMIFS('員工更表輸入'!$C$5:$C$39,'員工更表輸入'!$A$5:$A$39,'設定 Settings'!$A$8,'員工更表輸入'!$B$5:$B$39,H$144),Lists!$C$10&gt;=SUMIFS('員工更表輸入'!$D$5:$D$39,'員工更表輸入'!$A$5:$A$39,'設定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Settings'!$A$8,'員工更表輸入'!$B$5:$B$39,H$144)&gt;0,Lists!$C$10&gt;=SUMIFS('員工更表輸入'!$E$5:$E$39,'員工更表輸入'!$A$5:$A$39,'設定 Settings'!$A$8,'員工更表輸入'!$B$5:$B$39,H$144),Lists!$C$10&lt;SUMIFS('員工更表輸入'!$F$5:$F$39,'員工更表輸入'!$A$5:$A$39,'設定 Settings'!$A$8,'員工更表輸入'!$B$5:$B$39,H$144)),"Break","Work"))</f>
        <v/>
      </c>
    </row>
    <row r="154">
      <c r="A154" s="22" t="inlineStr">
        <is>
          <t>2:15pm-2:45pm</t>
        </is>
      </c>
      <c r="B154" s="24">
        <f>IF(OR(SUMIFS('員工更表輸入'!$D$5:$D$39,'員工更表輸入'!$A$5:$A$39,'設定 Settings'!$A$8,'員工更表輸入'!$B$5:$B$39,B$144)&lt;=0,Lists!$C$11&lt;SUMIFS('員工更表輸入'!$C$5:$C$39,'員工更表輸入'!$A$5:$A$39,'設定 Settings'!$A$8,'員工更表輸入'!$B$5:$B$39,B$144),Lists!$C$11&gt;=SUMIFS('員工更表輸入'!$D$5:$D$39,'員工更表輸入'!$A$5:$A$39,'設定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Settings'!$A$8,'員工更表輸入'!$B$5:$B$39,B$144)&gt;0,Lists!$C$11&gt;=SUMIFS('員工更表輸入'!$E$5:$E$39,'員工更表輸入'!$A$5:$A$39,'設定 Settings'!$A$8,'員工更表輸入'!$B$5:$B$39,B$144),Lists!$C$11&lt;SUMIFS('員工更表輸入'!$F$5:$F$39,'員工更表輸入'!$A$5:$A$39,'設定 Settings'!$A$8,'員工更表輸入'!$B$5:$B$39,B$144)),"Break","Work"))</f>
        <v/>
      </c>
      <c r="C154" s="24">
        <f>IF(OR(SUMIFS('員工更表輸入'!$D$5:$D$39,'員工更表輸入'!$A$5:$A$39,'設定 Settings'!$A$8,'員工更表輸入'!$B$5:$B$39,C$144)&lt;=0,Lists!$C$11&lt;SUMIFS('員工更表輸入'!$C$5:$C$39,'員工更表輸入'!$A$5:$A$39,'設定 Settings'!$A$8,'員工更表輸入'!$B$5:$B$39,C$144),Lists!$C$11&gt;=SUMIFS('員工更表輸入'!$D$5:$D$39,'員工更表輸入'!$A$5:$A$39,'設定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Settings'!$A$8,'員工更表輸入'!$B$5:$B$39,C$144)&gt;0,Lists!$C$11&gt;=SUMIFS('員工更表輸入'!$E$5:$E$39,'員工更表輸入'!$A$5:$A$39,'設定 Settings'!$A$8,'員工更表輸入'!$B$5:$B$39,C$144),Lists!$C$11&lt;SUMIFS('員工更表輸入'!$F$5:$F$39,'員工更表輸入'!$A$5:$A$39,'設定 Settings'!$A$8,'員工更表輸入'!$B$5:$B$39,C$144)),"Break","Work"))</f>
        <v/>
      </c>
      <c r="D154" s="24">
        <f>IF(OR(SUMIFS('員工更表輸入'!$D$5:$D$39,'員工更表輸入'!$A$5:$A$39,'設定 Settings'!$A$8,'員工更表輸入'!$B$5:$B$39,D$144)&lt;=0,Lists!$C$11&lt;SUMIFS('員工更表輸入'!$C$5:$C$39,'員工更表輸入'!$A$5:$A$39,'設定 Settings'!$A$8,'員工更表輸入'!$B$5:$B$39,D$144),Lists!$C$11&gt;=SUMIFS('員工更表輸入'!$D$5:$D$39,'員工更表輸入'!$A$5:$A$39,'設定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Settings'!$A$8,'員工更表輸入'!$B$5:$B$39,D$144)&gt;0,Lists!$C$11&gt;=SUMIFS('員工更表輸入'!$E$5:$E$39,'員工更表輸入'!$A$5:$A$39,'設定 Settings'!$A$8,'員工更表輸入'!$B$5:$B$39,D$144),Lists!$C$11&lt;SUMIFS('員工更表輸入'!$F$5:$F$39,'員工更表輸入'!$A$5:$A$39,'設定 Settings'!$A$8,'員工更表輸入'!$B$5:$B$39,D$144)),"Break","Work"))</f>
        <v/>
      </c>
      <c r="E154" s="24">
        <f>IF(OR(SUMIFS('員工更表輸入'!$D$5:$D$39,'員工更表輸入'!$A$5:$A$39,'設定 Settings'!$A$8,'員工更表輸入'!$B$5:$B$39,E$144)&lt;=0,Lists!$C$11&lt;SUMIFS('員工更表輸入'!$C$5:$C$39,'員工更表輸入'!$A$5:$A$39,'設定 Settings'!$A$8,'員工更表輸入'!$B$5:$B$39,E$144),Lists!$C$11&gt;=SUMIFS('員工更表輸入'!$D$5:$D$39,'員工更表輸入'!$A$5:$A$39,'設定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Settings'!$A$8,'員工更表輸入'!$B$5:$B$39,E$144)&gt;0,Lists!$C$11&gt;=SUMIFS('員工更表輸入'!$E$5:$E$39,'員工更表輸入'!$A$5:$A$39,'設定 Settings'!$A$8,'員工更表輸入'!$B$5:$B$39,E$144),Lists!$C$11&lt;SUMIFS('員工更表輸入'!$F$5:$F$39,'員工更表輸入'!$A$5:$A$39,'設定 Settings'!$A$8,'員工更表輸入'!$B$5:$B$39,E$144)),"Break","Work"))</f>
        <v/>
      </c>
      <c r="F154" s="24">
        <f>IF(OR(SUMIFS('員工更表輸入'!$D$5:$D$39,'員工更表輸入'!$A$5:$A$39,'設定 Settings'!$A$8,'員工更表輸入'!$B$5:$B$39,F$144)&lt;=0,Lists!$C$11&lt;SUMIFS('員工更表輸入'!$C$5:$C$39,'員工更表輸入'!$A$5:$A$39,'設定 Settings'!$A$8,'員工更表輸入'!$B$5:$B$39,F$144),Lists!$C$11&gt;=SUMIFS('員工更表輸入'!$D$5:$D$39,'員工更表輸入'!$A$5:$A$39,'設定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Settings'!$A$8,'員工更表輸入'!$B$5:$B$39,F$144)&gt;0,Lists!$C$11&gt;=SUMIFS('員工更表輸入'!$E$5:$E$39,'員工更表輸入'!$A$5:$A$39,'設定 Settings'!$A$8,'員工更表輸入'!$B$5:$B$39,F$144),Lists!$C$11&lt;SUMIFS('員工更表輸入'!$F$5:$F$39,'員工更表輸入'!$A$5:$A$39,'設定 Settings'!$A$8,'員工更表輸入'!$B$5:$B$39,F$144)),"Break","Work"))</f>
        <v/>
      </c>
      <c r="G154" s="24">
        <f>IF(OR(SUMIFS('員工更表輸入'!$D$5:$D$39,'員工更表輸入'!$A$5:$A$39,'設定 Settings'!$A$8,'員工更表輸入'!$B$5:$B$39,G$144)&lt;=0,Lists!$C$11&lt;SUMIFS('員工更表輸入'!$C$5:$C$39,'員工更表輸入'!$A$5:$A$39,'設定 Settings'!$A$8,'員工更表輸入'!$B$5:$B$39,G$144),Lists!$C$11&gt;=SUMIFS('員工更表輸入'!$D$5:$D$39,'員工更表輸入'!$A$5:$A$39,'設定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Settings'!$A$8,'員工更表輸入'!$B$5:$B$39,G$144)&gt;0,Lists!$C$11&gt;=SUMIFS('員工更表輸入'!$E$5:$E$39,'員工更表輸入'!$A$5:$A$39,'設定 Settings'!$A$8,'員工更表輸入'!$B$5:$B$39,G$144),Lists!$C$11&lt;SUMIFS('員工更表輸入'!$F$5:$F$39,'員工更表輸入'!$A$5:$A$39,'設定 Settings'!$A$8,'員工更表輸入'!$B$5:$B$39,G$144)),"Break","Work"))</f>
        <v/>
      </c>
      <c r="H154" s="24">
        <f>IF(OR(SUMIFS('員工更表輸入'!$D$5:$D$39,'員工更表輸入'!$A$5:$A$39,'設定 Settings'!$A$8,'員工更表輸入'!$B$5:$B$39,H$144)&lt;=0,Lists!$C$11&lt;SUMIFS('員工更表輸入'!$C$5:$C$39,'員工更表輸入'!$A$5:$A$39,'設定 Settings'!$A$8,'員工更表輸入'!$B$5:$B$39,H$144),Lists!$C$11&gt;=SUMIFS('員工更表輸入'!$D$5:$D$39,'員工更表輸入'!$A$5:$A$39,'設定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Settings'!$A$8,'員工更表輸入'!$B$5:$B$39,H$144)&gt;0,Lists!$C$11&gt;=SUMIFS('員工更表輸入'!$E$5:$E$39,'員工更表輸入'!$A$5:$A$39,'設定 Settings'!$A$8,'員工更表輸入'!$B$5:$B$39,H$144),Lists!$C$11&lt;SUMIFS('員工更表輸入'!$F$5:$F$39,'員工更表輸入'!$A$5:$A$39,'設定 Settings'!$A$8,'員工更表輸入'!$B$5:$B$39,H$144)),"Break","Work"))</f>
        <v/>
      </c>
    </row>
    <row r="155">
      <c r="A155" s="22" t="inlineStr">
        <is>
          <t>2:45pm-3:15pm</t>
        </is>
      </c>
      <c r="B155" s="24">
        <f>IF(OR(SUMIFS('員工更表輸入'!$D$5:$D$39,'員工更表輸入'!$A$5:$A$39,'設定 Settings'!$A$8,'員工更表輸入'!$B$5:$B$39,B$144)&lt;=0,Lists!$C$12&lt;SUMIFS('員工更表輸入'!$C$5:$C$39,'員工更表輸入'!$A$5:$A$39,'設定 Settings'!$A$8,'員工更表輸入'!$B$5:$B$39,B$144),Lists!$C$12&gt;=SUMIFS('員工更表輸入'!$D$5:$D$39,'員工更表輸入'!$A$5:$A$39,'設定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Settings'!$A$8,'員工更表輸入'!$B$5:$B$39,B$144)&gt;0,Lists!$C$12&gt;=SUMIFS('員工更表輸入'!$E$5:$E$39,'員工更表輸入'!$A$5:$A$39,'設定 Settings'!$A$8,'員工更表輸入'!$B$5:$B$39,B$144),Lists!$C$12&lt;SUMIFS('員工更表輸入'!$F$5:$F$39,'員工更表輸入'!$A$5:$A$39,'設定 Settings'!$A$8,'員工更表輸入'!$B$5:$B$39,B$144)),"Break","Work"))</f>
        <v/>
      </c>
      <c r="C155" s="24">
        <f>IF(OR(SUMIFS('員工更表輸入'!$D$5:$D$39,'員工更表輸入'!$A$5:$A$39,'設定 Settings'!$A$8,'員工更表輸入'!$B$5:$B$39,C$144)&lt;=0,Lists!$C$12&lt;SUMIFS('員工更表輸入'!$C$5:$C$39,'員工更表輸入'!$A$5:$A$39,'設定 Settings'!$A$8,'員工更表輸入'!$B$5:$B$39,C$144),Lists!$C$12&gt;=SUMIFS('員工更表輸入'!$D$5:$D$39,'員工更表輸入'!$A$5:$A$39,'設定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Settings'!$A$8,'員工更表輸入'!$B$5:$B$39,C$144)&gt;0,Lists!$C$12&gt;=SUMIFS('員工更表輸入'!$E$5:$E$39,'員工更表輸入'!$A$5:$A$39,'設定 Settings'!$A$8,'員工更表輸入'!$B$5:$B$39,C$144),Lists!$C$12&lt;SUMIFS('員工更表輸入'!$F$5:$F$39,'員工更表輸入'!$A$5:$A$39,'設定 Settings'!$A$8,'員工更表輸入'!$B$5:$B$39,C$144)),"Break","Work"))</f>
        <v/>
      </c>
      <c r="D155" s="24">
        <f>IF(OR(SUMIFS('員工更表輸入'!$D$5:$D$39,'員工更表輸入'!$A$5:$A$39,'設定 Settings'!$A$8,'員工更表輸入'!$B$5:$B$39,D$144)&lt;=0,Lists!$C$12&lt;SUMIFS('員工更表輸入'!$C$5:$C$39,'員工更表輸入'!$A$5:$A$39,'設定 Settings'!$A$8,'員工更表輸入'!$B$5:$B$39,D$144),Lists!$C$12&gt;=SUMIFS('員工更表輸入'!$D$5:$D$39,'員工更表輸入'!$A$5:$A$39,'設定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Settings'!$A$8,'員工更表輸入'!$B$5:$B$39,D$144)&gt;0,Lists!$C$12&gt;=SUMIFS('員工更表輸入'!$E$5:$E$39,'員工更表輸入'!$A$5:$A$39,'設定 Settings'!$A$8,'員工更表輸入'!$B$5:$B$39,D$144),Lists!$C$12&lt;SUMIFS('員工更表輸入'!$F$5:$F$39,'員工更表輸入'!$A$5:$A$39,'設定 Settings'!$A$8,'員工更表輸入'!$B$5:$B$39,D$144)),"Break","Work"))</f>
        <v/>
      </c>
      <c r="E155" s="24">
        <f>IF(OR(SUMIFS('員工更表輸入'!$D$5:$D$39,'員工更表輸入'!$A$5:$A$39,'設定 Settings'!$A$8,'員工更表輸入'!$B$5:$B$39,E$144)&lt;=0,Lists!$C$12&lt;SUMIFS('員工更表輸入'!$C$5:$C$39,'員工更表輸入'!$A$5:$A$39,'設定 Settings'!$A$8,'員工更表輸入'!$B$5:$B$39,E$144),Lists!$C$12&gt;=SUMIFS('員工更表輸入'!$D$5:$D$39,'員工更表輸入'!$A$5:$A$39,'設定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Settings'!$A$8,'員工更表輸入'!$B$5:$B$39,E$144)&gt;0,Lists!$C$12&gt;=SUMIFS('員工更表輸入'!$E$5:$E$39,'員工更表輸入'!$A$5:$A$39,'設定 Settings'!$A$8,'員工更表輸入'!$B$5:$B$39,E$144),Lists!$C$12&lt;SUMIFS('員工更表輸入'!$F$5:$F$39,'員工更表輸入'!$A$5:$A$39,'設定 Settings'!$A$8,'員工更表輸入'!$B$5:$B$39,E$144)),"Break","Work"))</f>
        <v/>
      </c>
      <c r="F155" s="24">
        <f>IF(OR(SUMIFS('員工更表輸入'!$D$5:$D$39,'員工更表輸入'!$A$5:$A$39,'設定 Settings'!$A$8,'員工更表輸入'!$B$5:$B$39,F$144)&lt;=0,Lists!$C$12&lt;SUMIFS('員工更表輸入'!$C$5:$C$39,'員工更表輸入'!$A$5:$A$39,'設定 Settings'!$A$8,'員工更表輸入'!$B$5:$B$39,F$144),Lists!$C$12&gt;=SUMIFS('員工更表輸入'!$D$5:$D$39,'員工更表輸入'!$A$5:$A$39,'設定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Settings'!$A$8,'員工更表輸入'!$B$5:$B$39,F$144)&gt;0,Lists!$C$12&gt;=SUMIFS('員工更表輸入'!$E$5:$E$39,'員工更表輸入'!$A$5:$A$39,'設定 Settings'!$A$8,'員工更表輸入'!$B$5:$B$39,F$144),Lists!$C$12&lt;SUMIFS('員工更表輸入'!$F$5:$F$39,'員工更表輸入'!$A$5:$A$39,'設定 Settings'!$A$8,'員工更表輸入'!$B$5:$B$39,F$144)),"Break","Work"))</f>
        <v/>
      </c>
      <c r="G155" s="24">
        <f>IF(OR(SUMIFS('員工更表輸入'!$D$5:$D$39,'員工更表輸入'!$A$5:$A$39,'設定 Settings'!$A$8,'員工更表輸入'!$B$5:$B$39,G$144)&lt;=0,Lists!$C$12&lt;SUMIFS('員工更表輸入'!$C$5:$C$39,'員工更表輸入'!$A$5:$A$39,'設定 Settings'!$A$8,'員工更表輸入'!$B$5:$B$39,G$144),Lists!$C$12&gt;=SUMIFS('員工更表輸入'!$D$5:$D$39,'員工更表輸入'!$A$5:$A$39,'設定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Settings'!$A$8,'員工更表輸入'!$B$5:$B$39,G$144)&gt;0,Lists!$C$12&gt;=SUMIFS('員工更表輸入'!$E$5:$E$39,'員工更表輸入'!$A$5:$A$39,'設定 Settings'!$A$8,'員工更表輸入'!$B$5:$B$39,G$144),Lists!$C$12&lt;SUMIFS('員工更表輸入'!$F$5:$F$39,'員工更表輸入'!$A$5:$A$39,'設定 Settings'!$A$8,'員工更表輸入'!$B$5:$B$39,G$144)),"Break","Work"))</f>
        <v/>
      </c>
      <c r="H155" s="24">
        <f>IF(OR(SUMIFS('員工更表輸入'!$D$5:$D$39,'員工更表輸入'!$A$5:$A$39,'設定 Settings'!$A$8,'員工更表輸入'!$B$5:$B$39,H$144)&lt;=0,Lists!$C$12&lt;SUMIFS('員工更表輸入'!$C$5:$C$39,'員工更表輸入'!$A$5:$A$39,'設定 Settings'!$A$8,'員工更表輸入'!$B$5:$B$39,H$144),Lists!$C$12&gt;=SUMIFS('員工更表輸入'!$D$5:$D$39,'員工更表輸入'!$A$5:$A$39,'設定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Settings'!$A$8,'員工更表輸入'!$B$5:$B$39,H$144)&gt;0,Lists!$C$12&gt;=SUMIFS('員工更表輸入'!$E$5:$E$39,'員工更表輸入'!$A$5:$A$39,'設定 Settings'!$A$8,'員工更表輸入'!$B$5:$B$39,H$144),Lists!$C$12&lt;SUMIFS('員工更表輸入'!$F$5:$F$39,'員工更表輸入'!$A$5:$A$39,'設定 Settings'!$A$8,'員工更表輸入'!$B$5:$B$39,H$144)),"Break","Work"))</f>
        <v/>
      </c>
    </row>
    <row r="156">
      <c r="A156" s="22" t="inlineStr">
        <is>
          <t>3:15pm-3:45pm</t>
        </is>
      </c>
      <c r="B156" s="24">
        <f>IF(OR(SUMIFS('員工更表輸入'!$D$5:$D$39,'員工更表輸入'!$A$5:$A$39,'設定 Settings'!$A$8,'員工更表輸入'!$B$5:$B$39,B$144)&lt;=0,Lists!$C$13&lt;SUMIFS('員工更表輸入'!$C$5:$C$39,'員工更表輸入'!$A$5:$A$39,'設定 Settings'!$A$8,'員工更表輸入'!$B$5:$B$39,B$144),Lists!$C$13&gt;=SUMIFS('員工更表輸入'!$D$5:$D$39,'員工更表輸入'!$A$5:$A$39,'設定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Settings'!$A$8,'員工更表輸入'!$B$5:$B$39,B$144)&gt;0,Lists!$C$13&gt;=SUMIFS('員工更表輸入'!$E$5:$E$39,'員工更表輸入'!$A$5:$A$39,'設定 Settings'!$A$8,'員工更表輸入'!$B$5:$B$39,B$144),Lists!$C$13&lt;SUMIFS('員工更表輸入'!$F$5:$F$39,'員工更表輸入'!$A$5:$A$39,'設定 Settings'!$A$8,'員工更表輸入'!$B$5:$B$39,B$144)),"Break","Work"))</f>
        <v/>
      </c>
      <c r="C156" s="24">
        <f>IF(OR(SUMIFS('員工更表輸入'!$D$5:$D$39,'員工更表輸入'!$A$5:$A$39,'設定 Settings'!$A$8,'員工更表輸入'!$B$5:$B$39,C$144)&lt;=0,Lists!$C$13&lt;SUMIFS('員工更表輸入'!$C$5:$C$39,'員工更表輸入'!$A$5:$A$39,'設定 Settings'!$A$8,'員工更表輸入'!$B$5:$B$39,C$144),Lists!$C$13&gt;=SUMIFS('員工更表輸入'!$D$5:$D$39,'員工更表輸入'!$A$5:$A$39,'設定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Settings'!$A$8,'員工更表輸入'!$B$5:$B$39,C$144)&gt;0,Lists!$C$13&gt;=SUMIFS('員工更表輸入'!$E$5:$E$39,'員工更表輸入'!$A$5:$A$39,'設定 Settings'!$A$8,'員工更表輸入'!$B$5:$B$39,C$144),Lists!$C$13&lt;SUMIFS('員工更表輸入'!$F$5:$F$39,'員工更表輸入'!$A$5:$A$39,'設定 Settings'!$A$8,'員工更表輸入'!$B$5:$B$39,C$144)),"Break","Work"))</f>
        <v/>
      </c>
      <c r="D156" s="24">
        <f>IF(OR(SUMIFS('員工更表輸入'!$D$5:$D$39,'員工更表輸入'!$A$5:$A$39,'設定 Settings'!$A$8,'員工更表輸入'!$B$5:$B$39,D$144)&lt;=0,Lists!$C$13&lt;SUMIFS('員工更表輸入'!$C$5:$C$39,'員工更表輸入'!$A$5:$A$39,'設定 Settings'!$A$8,'員工更表輸入'!$B$5:$B$39,D$144),Lists!$C$13&gt;=SUMIFS('員工更表輸入'!$D$5:$D$39,'員工更表輸入'!$A$5:$A$39,'設定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Settings'!$A$8,'員工更表輸入'!$B$5:$B$39,D$144)&gt;0,Lists!$C$13&gt;=SUMIFS('員工更表輸入'!$E$5:$E$39,'員工更表輸入'!$A$5:$A$39,'設定 Settings'!$A$8,'員工更表輸入'!$B$5:$B$39,D$144),Lists!$C$13&lt;SUMIFS('員工更表輸入'!$F$5:$F$39,'員工更表輸入'!$A$5:$A$39,'設定 Settings'!$A$8,'員工更表輸入'!$B$5:$B$39,D$144)),"Break","Work"))</f>
        <v/>
      </c>
      <c r="E156" s="24">
        <f>IF(OR(SUMIFS('員工更表輸入'!$D$5:$D$39,'員工更表輸入'!$A$5:$A$39,'設定 Settings'!$A$8,'員工更表輸入'!$B$5:$B$39,E$144)&lt;=0,Lists!$C$13&lt;SUMIFS('員工更表輸入'!$C$5:$C$39,'員工更表輸入'!$A$5:$A$39,'設定 Settings'!$A$8,'員工更表輸入'!$B$5:$B$39,E$144),Lists!$C$13&gt;=SUMIFS('員工更表輸入'!$D$5:$D$39,'員工更表輸入'!$A$5:$A$39,'設定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Settings'!$A$8,'員工更表輸入'!$B$5:$B$39,E$144)&gt;0,Lists!$C$13&gt;=SUMIFS('員工更表輸入'!$E$5:$E$39,'員工更表輸入'!$A$5:$A$39,'設定 Settings'!$A$8,'員工更表輸入'!$B$5:$B$39,E$144),Lists!$C$13&lt;SUMIFS('員工更表輸入'!$F$5:$F$39,'員工更表輸入'!$A$5:$A$39,'設定 Settings'!$A$8,'員工更表輸入'!$B$5:$B$39,E$144)),"Break","Work"))</f>
        <v/>
      </c>
      <c r="F156" s="24">
        <f>IF(OR(SUMIFS('員工更表輸入'!$D$5:$D$39,'員工更表輸入'!$A$5:$A$39,'設定 Settings'!$A$8,'員工更表輸入'!$B$5:$B$39,F$144)&lt;=0,Lists!$C$13&lt;SUMIFS('員工更表輸入'!$C$5:$C$39,'員工更表輸入'!$A$5:$A$39,'設定 Settings'!$A$8,'員工更表輸入'!$B$5:$B$39,F$144),Lists!$C$13&gt;=SUMIFS('員工更表輸入'!$D$5:$D$39,'員工更表輸入'!$A$5:$A$39,'設定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Settings'!$A$8,'員工更表輸入'!$B$5:$B$39,F$144)&gt;0,Lists!$C$13&gt;=SUMIFS('員工更表輸入'!$E$5:$E$39,'員工更表輸入'!$A$5:$A$39,'設定 Settings'!$A$8,'員工更表輸入'!$B$5:$B$39,F$144),Lists!$C$13&lt;SUMIFS('員工更表輸入'!$F$5:$F$39,'員工更表輸入'!$A$5:$A$39,'設定 Settings'!$A$8,'員工更表輸入'!$B$5:$B$39,F$144)),"Break","Work"))</f>
        <v/>
      </c>
      <c r="G156" s="24">
        <f>IF(OR(SUMIFS('員工更表輸入'!$D$5:$D$39,'員工更表輸入'!$A$5:$A$39,'設定 Settings'!$A$8,'員工更表輸入'!$B$5:$B$39,G$144)&lt;=0,Lists!$C$13&lt;SUMIFS('員工更表輸入'!$C$5:$C$39,'員工更表輸入'!$A$5:$A$39,'設定 Settings'!$A$8,'員工更表輸入'!$B$5:$B$39,G$144),Lists!$C$13&gt;=SUMIFS('員工更表輸入'!$D$5:$D$39,'員工更表輸入'!$A$5:$A$39,'設定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Settings'!$A$8,'員工更表輸入'!$B$5:$B$39,G$144)&gt;0,Lists!$C$13&gt;=SUMIFS('員工更表輸入'!$E$5:$E$39,'員工更表輸入'!$A$5:$A$39,'設定 Settings'!$A$8,'員工更表輸入'!$B$5:$B$39,G$144),Lists!$C$13&lt;SUMIFS('員工更表輸入'!$F$5:$F$39,'員工更表輸入'!$A$5:$A$39,'設定 Settings'!$A$8,'員工更表輸入'!$B$5:$B$39,G$144)),"Break","Work"))</f>
        <v/>
      </c>
      <c r="H156" s="24">
        <f>IF(OR(SUMIFS('員工更表輸入'!$D$5:$D$39,'員工更表輸入'!$A$5:$A$39,'設定 Settings'!$A$8,'員工更表輸入'!$B$5:$B$39,H$144)&lt;=0,Lists!$C$13&lt;SUMIFS('員工更表輸入'!$C$5:$C$39,'員工更表輸入'!$A$5:$A$39,'設定 Settings'!$A$8,'員工更表輸入'!$B$5:$B$39,H$144),Lists!$C$13&gt;=SUMIFS('員工更表輸入'!$D$5:$D$39,'員工更表輸入'!$A$5:$A$39,'設定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Settings'!$A$8,'員工更表輸入'!$B$5:$B$39,H$144)&gt;0,Lists!$C$13&gt;=SUMIFS('員工更表輸入'!$E$5:$E$39,'員工更表輸入'!$A$5:$A$39,'設定 Settings'!$A$8,'員工更表輸入'!$B$5:$B$39,H$144),Lists!$C$13&lt;SUMIFS('員工更表輸入'!$F$5:$F$39,'員工更表輸入'!$A$5:$A$39,'設定 Settings'!$A$8,'員工更表輸入'!$B$5:$B$39,H$144)),"Break","Work"))</f>
        <v/>
      </c>
    </row>
    <row r="157">
      <c r="A157" s="22" t="inlineStr">
        <is>
          <t>3:45pm-4:15pm</t>
        </is>
      </c>
      <c r="B157" s="24">
        <f>IF(OR(SUMIFS('員工更表輸入'!$D$5:$D$39,'員工更表輸入'!$A$5:$A$39,'設定 Settings'!$A$8,'員工更表輸入'!$B$5:$B$39,B$144)&lt;=0,Lists!$C$14&lt;SUMIFS('員工更表輸入'!$C$5:$C$39,'員工更表輸入'!$A$5:$A$39,'設定 Settings'!$A$8,'員工更表輸入'!$B$5:$B$39,B$144),Lists!$C$14&gt;=SUMIFS('員工更表輸入'!$D$5:$D$39,'員工更表輸入'!$A$5:$A$39,'設定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Settings'!$A$8,'員工更表輸入'!$B$5:$B$39,B$144)&gt;0,Lists!$C$14&gt;=SUMIFS('員工更表輸入'!$E$5:$E$39,'員工更表輸入'!$A$5:$A$39,'設定 Settings'!$A$8,'員工更表輸入'!$B$5:$B$39,B$144),Lists!$C$14&lt;SUMIFS('員工更表輸入'!$F$5:$F$39,'員工更表輸入'!$A$5:$A$39,'設定 Settings'!$A$8,'員工更表輸入'!$B$5:$B$39,B$144)),"Break","Work"))</f>
        <v/>
      </c>
      <c r="C157" s="24">
        <f>IF(OR(SUMIFS('員工更表輸入'!$D$5:$D$39,'員工更表輸入'!$A$5:$A$39,'設定 Settings'!$A$8,'員工更表輸入'!$B$5:$B$39,C$144)&lt;=0,Lists!$C$14&lt;SUMIFS('員工更表輸入'!$C$5:$C$39,'員工更表輸入'!$A$5:$A$39,'設定 Settings'!$A$8,'員工更表輸入'!$B$5:$B$39,C$144),Lists!$C$14&gt;=SUMIFS('員工更表輸入'!$D$5:$D$39,'員工更表輸入'!$A$5:$A$39,'設定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Settings'!$A$8,'員工更表輸入'!$B$5:$B$39,C$144)&gt;0,Lists!$C$14&gt;=SUMIFS('員工更表輸入'!$E$5:$E$39,'員工更表輸入'!$A$5:$A$39,'設定 Settings'!$A$8,'員工更表輸入'!$B$5:$B$39,C$144),Lists!$C$14&lt;SUMIFS('員工更表輸入'!$F$5:$F$39,'員工更表輸入'!$A$5:$A$39,'設定 Settings'!$A$8,'員工更表輸入'!$B$5:$B$39,C$144)),"Break","Work"))</f>
        <v/>
      </c>
      <c r="D157" s="24">
        <f>IF(OR(SUMIFS('員工更表輸入'!$D$5:$D$39,'員工更表輸入'!$A$5:$A$39,'設定 Settings'!$A$8,'員工更表輸入'!$B$5:$B$39,D$144)&lt;=0,Lists!$C$14&lt;SUMIFS('員工更表輸入'!$C$5:$C$39,'員工更表輸入'!$A$5:$A$39,'設定 Settings'!$A$8,'員工更表輸入'!$B$5:$B$39,D$144),Lists!$C$14&gt;=SUMIFS('員工更表輸入'!$D$5:$D$39,'員工更表輸入'!$A$5:$A$39,'設定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Settings'!$A$8,'員工更表輸入'!$B$5:$B$39,D$144)&gt;0,Lists!$C$14&gt;=SUMIFS('員工更表輸入'!$E$5:$E$39,'員工更表輸入'!$A$5:$A$39,'設定 Settings'!$A$8,'員工更表輸入'!$B$5:$B$39,D$144),Lists!$C$14&lt;SUMIFS('員工更表輸入'!$F$5:$F$39,'員工更表輸入'!$A$5:$A$39,'設定 Settings'!$A$8,'員工更表輸入'!$B$5:$B$39,D$144)),"Break","Work"))</f>
        <v/>
      </c>
      <c r="E157" s="24">
        <f>IF(OR(SUMIFS('員工更表輸入'!$D$5:$D$39,'員工更表輸入'!$A$5:$A$39,'設定 Settings'!$A$8,'員工更表輸入'!$B$5:$B$39,E$144)&lt;=0,Lists!$C$14&lt;SUMIFS('員工更表輸入'!$C$5:$C$39,'員工更表輸入'!$A$5:$A$39,'設定 Settings'!$A$8,'員工更表輸入'!$B$5:$B$39,E$144),Lists!$C$14&gt;=SUMIFS('員工更表輸入'!$D$5:$D$39,'員工更表輸入'!$A$5:$A$39,'設定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Settings'!$A$8,'員工更表輸入'!$B$5:$B$39,E$144)&gt;0,Lists!$C$14&gt;=SUMIFS('員工更表輸入'!$E$5:$E$39,'員工更表輸入'!$A$5:$A$39,'設定 Settings'!$A$8,'員工更表輸入'!$B$5:$B$39,E$144),Lists!$C$14&lt;SUMIFS('員工更表輸入'!$F$5:$F$39,'員工更表輸入'!$A$5:$A$39,'設定 Settings'!$A$8,'員工更表輸入'!$B$5:$B$39,E$144)),"Break","Work"))</f>
        <v/>
      </c>
      <c r="F157" s="24">
        <f>IF(OR(SUMIFS('員工更表輸入'!$D$5:$D$39,'員工更表輸入'!$A$5:$A$39,'設定 Settings'!$A$8,'員工更表輸入'!$B$5:$B$39,F$144)&lt;=0,Lists!$C$14&lt;SUMIFS('員工更表輸入'!$C$5:$C$39,'員工更表輸入'!$A$5:$A$39,'設定 Settings'!$A$8,'員工更表輸入'!$B$5:$B$39,F$144),Lists!$C$14&gt;=SUMIFS('員工更表輸入'!$D$5:$D$39,'員工更表輸入'!$A$5:$A$39,'設定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Settings'!$A$8,'員工更表輸入'!$B$5:$B$39,F$144)&gt;0,Lists!$C$14&gt;=SUMIFS('員工更表輸入'!$E$5:$E$39,'員工更表輸入'!$A$5:$A$39,'設定 Settings'!$A$8,'員工更表輸入'!$B$5:$B$39,F$144),Lists!$C$14&lt;SUMIFS('員工更表輸入'!$F$5:$F$39,'員工更表輸入'!$A$5:$A$39,'設定 Settings'!$A$8,'員工更表輸入'!$B$5:$B$39,F$144)),"Break","Work"))</f>
        <v/>
      </c>
      <c r="G157" s="24">
        <f>IF(OR(SUMIFS('員工更表輸入'!$D$5:$D$39,'員工更表輸入'!$A$5:$A$39,'設定 Settings'!$A$8,'員工更表輸入'!$B$5:$B$39,G$144)&lt;=0,Lists!$C$14&lt;SUMIFS('員工更表輸入'!$C$5:$C$39,'員工更表輸入'!$A$5:$A$39,'設定 Settings'!$A$8,'員工更表輸入'!$B$5:$B$39,G$144),Lists!$C$14&gt;=SUMIFS('員工更表輸入'!$D$5:$D$39,'員工更表輸入'!$A$5:$A$39,'設定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Settings'!$A$8,'員工更表輸入'!$B$5:$B$39,G$144)&gt;0,Lists!$C$14&gt;=SUMIFS('員工更表輸入'!$E$5:$E$39,'員工更表輸入'!$A$5:$A$39,'設定 Settings'!$A$8,'員工更表輸入'!$B$5:$B$39,G$144),Lists!$C$14&lt;SUMIFS('員工更表輸入'!$F$5:$F$39,'員工更表輸入'!$A$5:$A$39,'設定 Settings'!$A$8,'員工更表輸入'!$B$5:$B$39,G$144)),"Break","Work"))</f>
        <v/>
      </c>
      <c r="H157" s="24">
        <f>IF(OR(SUMIFS('員工更表輸入'!$D$5:$D$39,'員工更表輸入'!$A$5:$A$39,'設定 Settings'!$A$8,'員工更表輸入'!$B$5:$B$39,H$144)&lt;=0,Lists!$C$14&lt;SUMIFS('員工更表輸入'!$C$5:$C$39,'員工更表輸入'!$A$5:$A$39,'設定 Settings'!$A$8,'員工更表輸入'!$B$5:$B$39,H$144),Lists!$C$14&gt;=SUMIFS('員工更表輸入'!$D$5:$D$39,'員工更表輸入'!$A$5:$A$39,'設定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Settings'!$A$8,'員工更表輸入'!$B$5:$B$39,H$144)&gt;0,Lists!$C$14&gt;=SUMIFS('員工更表輸入'!$E$5:$E$39,'員工更表輸入'!$A$5:$A$39,'設定 Settings'!$A$8,'員工更表輸入'!$B$5:$B$39,H$144),Lists!$C$14&lt;SUMIFS('員工更表輸入'!$F$5:$F$39,'員工更表輸入'!$A$5:$A$39,'設定 Settings'!$A$8,'員工更表輸入'!$B$5:$B$39,H$144)),"Break","Work"))</f>
        <v/>
      </c>
    </row>
    <row r="158">
      <c r="A158" s="22" t="inlineStr">
        <is>
          <t>4:15pm-4:45pm</t>
        </is>
      </c>
      <c r="B158" s="24">
        <f>IF(OR(SUMIFS('員工更表輸入'!$D$5:$D$39,'員工更表輸入'!$A$5:$A$39,'設定 Settings'!$A$8,'員工更表輸入'!$B$5:$B$39,B$144)&lt;=0,Lists!$C$15&lt;SUMIFS('員工更表輸入'!$C$5:$C$39,'員工更表輸入'!$A$5:$A$39,'設定 Settings'!$A$8,'員工更表輸入'!$B$5:$B$39,B$144),Lists!$C$15&gt;=SUMIFS('員工更表輸入'!$D$5:$D$39,'員工更表輸入'!$A$5:$A$39,'設定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Settings'!$A$8,'員工更表輸入'!$B$5:$B$39,B$144)&gt;0,Lists!$C$15&gt;=SUMIFS('員工更表輸入'!$E$5:$E$39,'員工更表輸入'!$A$5:$A$39,'設定 Settings'!$A$8,'員工更表輸入'!$B$5:$B$39,B$144),Lists!$C$15&lt;SUMIFS('員工更表輸入'!$F$5:$F$39,'員工更表輸入'!$A$5:$A$39,'設定 Settings'!$A$8,'員工更表輸入'!$B$5:$B$39,B$144)),"Break","Work"))</f>
        <v/>
      </c>
      <c r="C158" s="24">
        <f>IF(OR(SUMIFS('員工更表輸入'!$D$5:$D$39,'員工更表輸入'!$A$5:$A$39,'設定 Settings'!$A$8,'員工更表輸入'!$B$5:$B$39,C$144)&lt;=0,Lists!$C$15&lt;SUMIFS('員工更表輸入'!$C$5:$C$39,'員工更表輸入'!$A$5:$A$39,'設定 Settings'!$A$8,'員工更表輸入'!$B$5:$B$39,C$144),Lists!$C$15&gt;=SUMIFS('員工更表輸入'!$D$5:$D$39,'員工更表輸入'!$A$5:$A$39,'設定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Settings'!$A$8,'員工更表輸入'!$B$5:$B$39,C$144)&gt;0,Lists!$C$15&gt;=SUMIFS('員工更表輸入'!$E$5:$E$39,'員工更表輸入'!$A$5:$A$39,'設定 Settings'!$A$8,'員工更表輸入'!$B$5:$B$39,C$144),Lists!$C$15&lt;SUMIFS('員工更表輸入'!$F$5:$F$39,'員工更表輸入'!$A$5:$A$39,'設定 Settings'!$A$8,'員工更表輸入'!$B$5:$B$39,C$144)),"Break","Work"))</f>
        <v/>
      </c>
      <c r="D158" s="24">
        <f>IF(OR(SUMIFS('員工更表輸入'!$D$5:$D$39,'員工更表輸入'!$A$5:$A$39,'設定 Settings'!$A$8,'員工更表輸入'!$B$5:$B$39,D$144)&lt;=0,Lists!$C$15&lt;SUMIFS('員工更表輸入'!$C$5:$C$39,'員工更表輸入'!$A$5:$A$39,'設定 Settings'!$A$8,'員工更表輸入'!$B$5:$B$39,D$144),Lists!$C$15&gt;=SUMIFS('員工更表輸入'!$D$5:$D$39,'員工更表輸入'!$A$5:$A$39,'設定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Settings'!$A$8,'員工更表輸入'!$B$5:$B$39,D$144)&gt;0,Lists!$C$15&gt;=SUMIFS('員工更表輸入'!$E$5:$E$39,'員工更表輸入'!$A$5:$A$39,'設定 Settings'!$A$8,'員工更表輸入'!$B$5:$B$39,D$144),Lists!$C$15&lt;SUMIFS('員工更表輸入'!$F$5:$F$39,'員工更表輸入'!$A$5:$A$39,'設定 Settings'!$A$8,'員工更表輸入'!$B$5:$B$39,D$144)),"Break","Work"))</f>
        <v/>
      </c>
      <c r="E158" s="24">
        <f>IF(OR(SUMIFS('員工更表輸入'!$D$5:$D$39,'員工更表輸入'!$A$5:$A$39,'設定 Settings'!$A$8,'員工更表輸入'!$B$5:$B$39,E$144)&lt;=0,Lists!$C$15&lt;SUMIFS('員工更表輸入'!$C$5:$C$39,'員工更表輸入'!$A$5:$A$39,'設定 Settings'!$A$8,'員工更表輸入'!$B$5:$B$39,E$144),Lists!$C$15&gt;=SUMIFS('員工更表輸入'!$D$5:$D$39,'員工更表輸入'!$A$5:$A$39,'設定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Settings'!$A$8,'員工更表輸入'!$B$5:$B$39,E$144)&gt;0,Lists!$C$15&gt;=SUMIFS('員工更表輸入'!$E$5:$E$39,'員工更表輸入'!$A$5:$A$39,'設定 Settings'!$A$8,'員工更表輸入'!$B$5:$B$39,E$144),Lists!$C$15&lt;SUMIFS('員工更表輸入'!$F$5:$F$39,'員工更表輸入'!$A$5:$A$39,'設定 Settings'!$A$8,'員工更表輸入'!$B$5:$B$39,E$144)),"Break","Work"))</f>
        <v/>
      </c>
      <c r="F158" s="24">
        <f>IF(OR(SUMIFS('員工更表輸入'!$D$5:$D$39,'員工更表輸入'!$A$5:$A$39,'設定 Settings'!$A$8,'員工更表輸入'!$B$5:$B$39,F$144)&lt;=0,Lists!$C$15&lt;SUMIFS('員工更表輸入'!$C$5:$C$39,'員工更表輸入'!$A$5:$A$39,'設定 Settings'!$A$8,'員工更表輸入'!$B$5:$B$39,F$144),Lists!$C$15&gt;=SUMIFS('員工更表輸入'!$D$5:$D$39,'員工更表輸入'!$A$5:$A$39,'設定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Settings'!$A$8,'員工更表輸入'!$B$5:$B$39,F$144)&gt;0,Lists!$C$15&gt;=SUMIFS('員工更表輸入'!$E$5:$E$39,'員工更表輸入'!$A$5:$A$39,'設定 Settings'!$A$8,'員工更表輸入'!$B$5:$B$39,F$144),Lists!$C$15&lt;SUMIFS('員工更表輸入'!$F$5:$F$39,'員工更表輸入'!$A$5:$A$39,'設定 Settings'!$A$8,'員工更表輸入'!$B$5:$B$39,F$144)),"Break","Work"))</f>
        <v/>
      </c>
      <c r="G158" s="24">
        <f>IF(OR(SUMIFS('員工更表輸入'!$D$5:$D$39,'員工更表輸入'!$A$5:$A$39,'設定 Settings'!$A$8,'員工更表輸入'!$B$5:$B$39,G$144)&lt;=0,Lists!$C$15&lt;SUMIFS('員工更表輸入'!$C$5:$C$39,'員工更表輸入'!$A$5:$A$39,'設定 Settings'!$A$8,'員工更表輸入'!$B$5:$B$39,G$144),Lists!$C$15&gt;=SUMIFS('員工更表輸入'!$D$5:$D$39,'員工更表輸入'!$A$5:$A$39,'設定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Settings'!$A$8,'員工更表輸入'!$B$5:$B$39,G$144)&gt;0,Lists!$C$15&gt;=SUMIFS('員工更表輸入'!$E$5:$E$39,'員工更表輸入'!$A$5:$A$39,'設定 Settings'!$A$8,'員工更表輸入'!$B$5:$B$39,G$144),Lists!$C$15&lt;SUMIFS('員工更表輸入'!$F$5:$F$39,'員工更表輸入'!$A$5:$A$39,'設定 Settings'!$A$8,'員工更表輸入'!$B$5:$B$39,G$144)),"Break","Work"))</f>
        <v/>
      </c>
      <c r="H158" s="24">
        <f>IF(OR(SUMIFS('員工更表輸入'!$D$5:$D$39,'員工更表輸入'!$A$5:$A$39,'設定 Settings'!$A$8,'員工更表輸入'!$B$5:$B$39,H$144)&lt;=0,Lists!$C$15&lt;SUMIFS('員工更表輸入'!$C$5:$C$39,'員工更表輸入'!$A$5:$A$39,'設定 Settings'!$A$8,'員工更表輸入'!$B$5:$B$39,H$144),Lists!$C$15&gt;=SUMIFS('員工更表輸入'!$D$5:$D$39,'員工更表輸入'!$A$5:$A$39,'設定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Settings'!$A$8,'員工更表輸入'!$B$5:$B$39,H$144)&gt;0,Lists!$C$15&gt;=SUMIFS('員工更表輸入'!$E$5:$E$39,'員工更表輸入'!$A$5:$A$39,'設定 Settings'!$A$8,'員工更表輸入'!$B$5:$B$39,H$144),Lists!$C$15&lt;SUMIFS('員工更表輸入'!$F$5:$F$39,'員工更表輸入'!$A$5:$A$39,'設定 Settings'!$A$8,'員工更表輸入'!$B$5:$B$39,H$144)),"Break","Work"))</f>
        <v/>
      </c>
    </row>
    <row r="159">
      <c r="A159" s="22" t="inlineStr">
        <is>
          <t>4:45pm-5:15pm</t>
        </is>
      </c>
      <c r="B159" s="24">
        <f>IF(OR(SUMIFS('員工更表輸入'!$D$5:$D$39,'員工更表輸入'!$A$5:$A$39,'設定 Settings'!$A$8,'員工更表輸入'!$B$5:$B$39,B$144)&lt;=0,Lists!$C$16&lt;SUMIFS('員工更表輸入'!$C$5:$C$39,'員工更表輸入'!$A$5:$A$39,'設定 Settings'!$A$8,'員工更表輸入'!$B$5:$B$39,B$144),Lists!$C$16&gt;=SUMIFS('員工更表輸入'!$D$5:$D$39,'員工更表輸入'!$A$5:$A$39,'設定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Settings'!$A$8,'員工更表輸入'!$B$5:$B$39,B$144)&gt;0,Lists!$C$16&gt;=SUMIFS('員工更表輸入'!$E$5:$E$39,'員工更表輸入'!$A$5:$A$39,'設定 Settings'!$A$8,'員工更表輸入'!$B$5:$B$39,B$144),Lists!$C$16&lt;SUMIFS('員工更表輸入'!$F$5:$F$39,'員工更表輸入'!$A$5:$A$39,'設定 Settings'!$A$8,'員工更表輸入'!$B$5:$B$39,B$144)),"Break","Work"))</f>
        <v/>
      </c>
      <c r="C159" s="24">
        <f>IF(OR(SUMIFS('員工更表輸入'!$D$5:$D$39,'員工更表輸入'!$A$5:$A$39,'設定 Settings'!$A$8,'員工更表輸入'!$B$5:$B$39,C$144)&lt;=0,Lists!$C$16&lt;SUMIFS('員工更表輸入'!$C$5:$C$39,'員工更表輸入'!$A$5:$A$39,'設定 Settings'!$A$8,'員工更表輸入'!$B$5:$B$39,C$144),Lists!$C$16&gt;=SUMIFS('員工更表輸入'!$D$5:$D$39,'員工更表輸入'!$A$5:$A$39,'設定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Settings'!$A$8,'員工更表輸入'!$B$5:$B$39,C$144)&gt;0,Lists!$C$16&gt;=SUMIFS('員工更表輸入'!$E$5:$E$39,'員工更表輸入'!$A$5:$A$39,'設定 Settings'!$A$8,'員工更表輸入'!$B$5:$B$39,C$144),Lists!$C$16&lt;SUMIFS('員工更表輸入'!$F$5:$F$39,'員工更表輸入'!$A$5:$A$39,'設定 Settings'!$A$8,'員工更表輸入'!$B$5:$B$39,C$144)),"Break","Work"))</f>
        <v/>
      </c>
      <c r="D159" s="24">
        <f>IF(OR(SUMIFS('員工更表輸入'!$D$5:$D$39,'員工更表輸入'!$A$5:$A$39,'設定 Settings'!$A$8,'員工更表輸入'!$B$5:$B$39,D$144)&lt;=0,Lists!$C$16&lt;SUMIFS('員工更表輸入'!$C$5:$C$39,'員工更表輸入'!$A$5:$A$39,'設定 Settings'!$A$8,'員工更表輸入'!$B$5:$B$39,D$144),Lists!$C$16&gt;=SUMIFS('員工更表輸入'!$D$5:$D$39,'員工更表輸入'!$A$5:$A$39,'設定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Settings'!$A$8,'員工更表輸入'!$B$5:$B$39,D$144)&gt;0,Lists!$C$16&gt;=SUMIFS('員工更表輸入'!$E$5:$E$39,'員工更表輸入'!$A$5:$A$39,'設定 Settings'!$A$8,'員工更表輸入'!$B$5:$B$39,D$144),Lists!$C$16&lt;SUMIFS('員工更表輸入'!$F$5:$F$39,'員工更表輸入'!$A$5:$A$39,'設定 Settings'!$A$8,'員工更表輸入'!$B$5:$B$39,D$144)),"Break","Work"))</f>
        <v/>
      </c>
      <c r="E159" s="24">
        <f>IF(OR(SUMIFS('員工更表輸入'!$D$5:$D$39,'員工更表輸入'!$A$5:$A$39,'設定 Settings'!$A$8,'員工更表輸入'!$B$5:$B$39,E$144)&lt;=0,Lists!$C$16&lt;SUMIFS('員工更表輸入'!$C$5:$C$39,'員工更表輸入'!$A$5:$A$39,'設定 Settings'!$A$8,'員工更表輸入'!$B$5:$B$39,E$144),Lists!$C$16&gt;=SUMIFS('員工更表輸入'!$D$5:$D$39,'員工更表輸入'!$A$5:$A$39,'設定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Settings'!$A$8,'員工更表輸入'!$B$5:$B$39,E$144)&gt;0,Lists!$C$16&gt;=SUMIFS('員工更表輸入'!$E$5:$E$39,'員工更表輸入'!$A$5:$A$39,'設定 Settings'!$A$8,'員工更表輸入'!$B$5:$B$39,E$144),Lists!$C$16&lt;SUMIFS('員工更表輸入'!$F$5:$F$39,'員工更表輸入'!$A$5:$A$39,'設定 Settings'!$A$8,'員工更表輸入'!$B$5:$B$39,E$144)),"Break","Work"))</f>
        <v/>
      </c>
      <c r="F159" s="24">
        <f>IF(OR(SUMIFS('員工更表輸入'!$D$5:$D$39,'員工更表輸入'!$A$5:$A$39,'設定 Settings'!$A$8,'員工更表輸入'!$B$5:$B$39,F$144)&lt;=0,Lists!$C$16&lt;SUMIFS('員工更表輸入'!$C$5:$C$39,'員工更表輸入'!$A$5:$A$39,'設定 Settings'!$A$8,'員工更表輸入'!$B$5:$B$39,F$144),Lists!$C$16&gt;=SUMIFS('員工更表輸入'!$D$5:$D$39,'員工更表輸入'!$A$5:$A$39,'設定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Settings'!$A$8,'員工更表輸入'!$B$5:$B$39,F$144)&gt;0,Lists!$C$16&gt;=SUMIFS('員工更表輸入'!$E$5:$E$39,'員工更表輸入'!$A$5:$A$39,'設定 Settings'!$A$8,'員工更表輸入'!$B$5:$B$39,F$144),Lists!$C$16&lt;SUMIFS('員工更表輸入'!$F$5:$F$39,'員工更表輸入'!$A$5:$A$39,'設定 Settings'!$A$8,'員工更表輸入'!$B$5:$B$39,F$144)),"Break","Work"))</f>
        <v/>
      </c>
      <c r="G159" s="24">
        <f>IF(OR(SUMIFS('員工更表輸入'!$D$5:$D$39,'員工更表輸入'!$A$5:$A$39,'設定 Settings'!$A$8,'員工更表輸入'!$B$5:$B$39,G$144)&lt;=0,Lists!$C$16&lt;SUMIFS('員工更表輸入'!$C$5:$C$39,'員工更表輸入'!$A$5:$A$39,'設定 Settings'!$A$8,'員工更表輸入'!$B$5:$B$39,G$144),Lists!$C$16&gt;=SUMIFS('員工更表輸入'!$D$5:$D$39,'員工更表輸入'!$A$5:$A$39,'設定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Settings'!$A$8,'員工更表輸入'!$B$5:$B$39,G$144)&gt;0,Lists!$C$16&gt;=SUMIFS('員工更表輸入'!$E$5:$E$39,'員工更表輸入'!$A$5:$A$39,'設定 Settings'!$A$8,'員工更表輸入'!$B$5:$B$39,G$144),Lists!$C$16&lt;SUMIFS('員工更表輸入'!$F$5:$F$39,'員工更表輸入'!$A$5:$A$39,'設定 Settings'!$A$8,'員工更表輸入'!$B$5:$B$39,G$144)),"Break","Work"))</f>
        <v/>
      </c>
      <c r="H159" s="24">
        <f>IF(OR(SUMIFS('員工更表輸入'!$D$5:$D$39,'員工更表輸入'!$A$5:$A$39,'設定 Settings'!$A$8,'員工更表輸入'!$B$5:$B$39,H$144)&lt;=0,Lists!$C$16&lt;SUMIFS('員工更表輸入'!$C$5:$C$39,'員工更表輸入'!$A$5:$A$39,'設定 Settings'!$A$8,'員工更表輸入'!$B$5:$B$39,H$144),Lists!$C$16&gt;=SUMIFS('員工更表輸入'!$D$5:$D$39,'員工更表輸入'!$A$5:$A$39,'設定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Settings'!$A$8,'員工更表輸入'!$B$5:$B$39,H$144)&gt;0,Lists!$C$16&gt;=SUMIFS('員工更表輸入'!$E$5:$E$39,'員工更表輸入'!$A$5:$A$39,'設定 Settings'!$A$8,'員工更表輸入'!$B$5:$B$39,H$144),Lists!$C$16&lt;SUMIFS('員工更表輸入'!$F$5:$F$39,'員工更表輸入'!$A$5:$A$39,'設定 Settings'!$A$8,'員工更表輸入'!$B$5:$B$39,H$144)),"Break","Work"))</f>
        <v/>
      </c>
    </row>
    <row r="160">
      <c r="A160" s="22" t="inlineStr">
        <is>
          <t>5:15pm-5:45pm</t>
        </is>
      </c>
      <c r="B160" s="24">
        <f>IF(OR(SUMIFS('員工更表輸入'!$D$5:$D$39,'員工更表輸入'!$A$5:$A$39,'設定 Settings'!$A$8,'員工更表輸入'!$B$5:$B$39,B$144)&lt;=0,Lists!$C$17&lt;SUMIFS('員工更表輸入'!$C$5:$C$39,'員工更表輸入'!$A$5:$A$39,'設定 Settings'!$A$8,'員工更表輸入'!$B$5:$B$39,B$144),Lists!$C$17&gt;=SUMIFS('員工更表輸入'!$D$5:$D$39,'員工更表輸入'!$A$5:$A$39,'設定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Settings'!$A$8,'員工更表輸入'!$B$5:$B$39,B$144)&gt;0,Lists!$C$17&gt;=SUMIFS('員工更表輸入'!$E$5:$E$39,'員工更表輸入'!$A$5:$A$39,'設定 Settings'!$A$8,'員工更表輸入'!$B$5:$B$39,B$144),Lists!$C$17&lt;SUMIFS('員工更表輸入'!$F$5:$F$39,'員工更表輸入'!$A$5:$A$39,'設定 Settings'!$A$8,'員工更表輸入'!$B$5:$B$39,B$144)),"Break","Work"))</f>
        <v/>
      </c>
      <c r="C160" s="24">
        <f>IF(OR(SUMIFS('員工更表輸入'!$D$5:$D$39,'員工更表輸入'!$A$5:$A$39,'設定 Settings'!$A$8,'員工更表輸入'!$B$5:$B$39,C$144)&lt;=0,Lists!$C$17&lt;SUMIFS('員工更表輸入'!$C$5:$C$39,'員工更表輸入'!$A$5:$A$39,'設定 Settings'!$A$8,'員工更表輸入'!$B$5:$B$39,C$144),Lists!$C$17&gt;=SUMIFS('員工更表輸入'!$D$5:$D$39,'員工更表輸入'!$A$5:$A$39,'設定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Settings'!$A$8,'員工更表輸入'!$B$5:$B$39,C$144)&gt;0,Lists!$C$17&gt;=SUMIFS('員工更表輸入'!$E$5:$E$39,'員工更表輸入'!$A$5:$A$39,'設定 Settings'!$A$8,'員工更表輸入'!$B$5:$B$39,C$144),Lists!$C$17&lt;SUMIFS('員工更表輸入'!$F$5:$F$39,'員工更表輸入'!$A$5:$A$39,'設定 Settings'!$A$8,'員工更表輸入'!$B$5:$B$39,C$144)),"Break","Work"))</f>
        <v/>
      </c>
      <c r="D160" s="24">
        <f>IF(OR(SUMIFS('員工更表輸入'!$D$5:$D$39,'員工更表輸入'!$A$5:$A$39,'設定 Settings'!$A$8,'員工更表輸入'!$B$5:$B$39,D$144)&lt;=0,Lists!$C$17&lt;SUMIFS('員工更表輸入'!$C$5:$C$39,'員工更表輸入'!$A$5:$A$39,'設定 Settings'!$A$8,'員工更表輸入'!$B$5:$B$39,D$144),Lists!$C$17&gt;=SUMIFS('員工更表輸入'!$D$5:$D$39,'員工更表輸入'!$A$5:$A$39,'設定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Settings'!$A$8,'員工更表輸入'!$B$5:$B$39,D$144)&gt;0,Lists!$C$17&gt;=SUMIFS('員工更表輸入'!$E$5:$E$39,'員工更表輸入'!$A$5:$A$39,'設定 Settings'!$A$8,'員工更表輸入'!$B$5:$B$39,D$144),Lists!$C$17&lt;SUMIFS('員工更表輸入'!$F$5:$F$39,'員工更表輸入'!$A$5:$A$39,'設定 Settings'!$A$8,'員工更表輸入'!$B$5:$B$39,D$144)),"Break","Work"))</f>
        <v/>
      </c>
      <c r="E160" s="24">
        <f>IF(OR(SUMIFS('員工更表輸入'!$D$5:$D$39,'員工更表輸入'!$A$5:$A$39,'設定 Settings'!$A$8,'員工更表輸入'!$B$5:$B$39,E$144)&lt;=0,Lists!$C$17&lt;SUMIFS('員工更表輸入'!$C$5:$C$39,'員工更表輸入'!$A$5:$A$39,'設定 Settings'!$A$8,'員工更表輸入'!$B$5:$B$39,E$144),Lists!$C$17&gt;=SUMIFS('員工更表輸入'!$D$5:$D$39,'員工更表輸入'!$A$5:$A$39,'設定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Settings'!$A$8,'員工更表輸入'!$B$5:$B$39,E$144)&gt;0,Lists!$C$17&gt;=SUMIFS('員工更表輸入'!$E$5:$E$39,'員工更表輸入'!$A$5:$A$39,'設定 Settings'!$A$8,'員工更表輸入'!$B$5:$B$39,E$144),Lists!$C$17&lt;SUMIFS('員工更表輸入'!$F$5:$F$39,'員工更表輸入'!$A$5:$A$39,'設定 Settings'!$A$8,'員工更表輸入'!$B$5:$B$39,E$144)),"Break","Work"))</f>
        <v/>
      </c>
      <c r="F160" s="24">
        <f>IF(OR(SUMIFS('員工更表輸入'!$D$5:$D$39,'員工更表輸入'!$A$5:$A$39,'設定 Settings'!$A$8,'員工更表輸入'!$B$5:$B$39,F$144)&lt;=0,Lists!$C$17&lt;SUMIFS('員工更表輸入'!$C$5:$C$39,'員工更表輸入'!$A$5:$A$39,'設定 Settings'!$A$8,'員工更表輸入'!$B$5:$B$39,F$144),Lists!$C$17&gt;=SUMIFS('員工更表輸入'!$D$5:$D$39,'員工更表輸入'!$A$5:$A$39,'設定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Settings'!$A$8,'員工更表輸入'!$B$5:$B$39,F$144)&gt;0,Lists!$C$17&gt;=SUMIFS('員工更表輸入'!$E$5:$E$39,'員工更表輸入'!$A$5:$A$39,'設定 Settings'!$A$8,'員工更表輸入'!$B$5:$B$39,F$144),Lists!$C$17&lt;SUMIFS('員工更表輸入'!$F$5:$F$39,'員工更表輸入'!$A$5:$A$39,'設定 Settings'!$A$8,'員工更表輸入'!$B$5:$B$39,F$144)),"Break","Work"))</f>
        <v/>
      </c>
      <c r="G160" s="24">
        <f>IF(OR(SUMIFS('員工更表輸入'!$D$5:$D$39,'員工更表輸入'!$A$5:$A$39,'設定 Settings'!$A$8,'員工更表輸入'!$B$5:$B$39,G$144)&lt;=0,Lists!$C$17&lt;SUMIFS('員工更表輸入'!$C$5:$C$39,'員工更表輸入'!$A$5:$A$39,'設定 Settings'!$A$8,'員工更表輸入'!$B$5:$B$39,G$144),Lists!$C$17&gt;=SUMIFS('員工更表輸入'!$D$5:$D$39,'員工更表輸入'!$A$5:$A$39,'設定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Settings'!$A$8,'員工更表輸入'!$B$5:$B$39,G$144)&gt;0,Lists!$C$17&gt;=SUMIFS('員工更表輸入'!$E$5:$E$39,'員工更表輸入'!$A$5:$A$39,'設定 Settings'!$A$8,'員工更表輸入'!$B$5:$B$39,G$144),Lists!$C$17&lt;SUMIFS('員工更表輸入'!$F$5:$F$39,'員工更表輸入'!$A$5:$A$39,'設定 Settings'!$A$8,'員工更表輸入'!$B$5:$B$39,G$144)),"Break","Work"))</f>
        <v/>
      </c>
      <c r="H160" s="24">
        <f>IF(OR(SUMIFS('員工更表輸入'!$D$5:$D$39,'員工更表輸入'!$A$5:$A$39,'設定 Settings'!$A$8,'員工更表輸入'!$B$5:$B$39,H$144)&lt;=0,Lists!$C$17&lt;SUMIFS('員工更表輸入'!$C$5:$C$39,'員工更表輸入'!$A$5:$A$39,'設定 Settings'!$A$8,'員工更表輸入'!$B$5:$B$39,H$144),Lists!$C$17&gt;=SUMIFS('員工更表輸入'!$D$5:$D$39,'員工更表輸入'!$A$5:$A$39,'設定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Settings'!$A$8,'員工更表輸入'!$B$5:$B$39,H$144)&gt;0,Lists!$C$17&gt;=SUMIFS('員工更表輸入'!$E$5:$E$39,'員工更表輸入'!$A$5:$A$39,'設定 Settings'!$A$8,'員工更表輸入'!$B$5:$B$39,H$144),Lists!$C$17&lt;SUMIFS('員工更表輸入'!$F$5:$F$39,'員工更表輸入'!$A$5:$A$39,'設定 Settings'!$A$8,'員工更表輸入'!$B$5:$B$39,H$144)),"Break","Work"))</f>
        <v/>
      </c>
    </row>
    <row r="161">
      <c r="A161" s="22" t="inlineStr">
        <is>
          <t>5:45pm-6:15pm</t>
        </is>
      </c>
      <c r="B161" s="24">
        <f>IF(OR(SUMIFS('員工更表輸入'!$D$5:$D$39,'員工更表輸入'!$A$5:$A$39,'設定 Settings'!$A$8,'員工更表輸入'!$B$5:$B$39,B$144)&lt;=0,Lists!$C$18&lt;SUMIFS('員工更表輸入'!$C$5:$C$39,'員工更表輸入'!$A$5:$A$39,'設定 Settings'!$A$8,'員工更表輸入'!$B$5:$B$39,B$144),Lists!$C$18&gt;=SUMIFS('員工更表輸入'!$D$5:$D$39,'員工更表輸入'!$A$5:$A$39,'設定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Settings'!$A$8,'員工更表輸入'!$B$5:$B$39,B$144)&gt;0,Lists!$C$18&gt;=SUMIFS('員工更表輸入'!$E$5:$E$39,'員工更表輸入'!$A$5:$A$39,'設定 Settings'!$A$8,'員工更表輸入'!$B$5:$B$39,B$144),Lists!$C$18&lt;SUMIFS('員工更表輸入'!$F$5:$F$39,'員工更表輸入'!$A$5:$A$39,'設定 Settings'!$A$8,'員工更表輸入'!$B$5:$B$39,B$144)),"Break","Work"))</f>
        <v/>
      </c>
      <c r="C161" s="24">
        <f>IF(OR(SUMIFS('員工更表輸入'!$D$5:$D$39,'員工更表輸入'!$A$5:$A$39,'設定 Settings'!$A$8,'員工更表輸入'!$B$5:$B$39,C$144)&lt;=0,Lists!$C$18&lt;SUMIFS('員工更表輸入'!$C$5:$C$39,'員工更表輸入'!$A$5:$A$39,'設定 Settings'!$A$8,'員工更表輸入'!$B$5:$B$39,C$144),Lists!$C$18&gt;=SUMIFS('員工更表輸入'!$D$5:$D$39,'員工更表輸入'!$A$5:$A$39,'設定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Settings'!$A$8,'員工更表輸入'!$B$5:$B$39,C$144)&gt;0,Lists!$C$18&gt;=SUMIFS('員工更表輸入'!$E$5:$E$39,'員工更表輸入'!$A$5:$A$39,'設定 Settings'!$A$8,'員工更表輸入'!$B$5:$B$39,C$144),Lists!$C$18&lt;SUMIFS('員工更表輸入'!$F$5:$F$39,'員工更表輸入'!$A$5:$A$39,'設定 Settings'!$A$8,'員工更表輸入'!$B$5:$B$39,C$144)),"Break","Work"))</f>
        <v/>
      </c>
      <c r="D161" s="24">
        <f>IF(OR(SUMIFS('員工更表輸入'!$D$5:$D$39,'員工更表輸入'!$A$5:$A$39,'設定 Settings'!$A$8,'員工更表輸入'!$B$5:$B$39,D$144)&lt;=0,Lists!$C$18&lt;SUMIFS('員工更表輸入'!$C$5:$C$39,'員工更表輸入'!$A$5:$A$39,'設定 Settings'!$A$8,'員工更表輸入'!$B$5:$B$39,D$144),Lists!$C$18&gt;=SUMIFS('員工更表輸入'!$D$5:$D$39,'員工更表輸入'!$A$5:$A$39,'設定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Settings'!$A$8,'員工更表輸入'!$B$5:$B$39,D$144)&gt;0,Lists!$C$18&gt;=SUMIFS('員工更表輸入'!$E$5:$E$39,'員工更表輸入'!$A$5:$A$39,'設定 Settings'!$A$8,'員工更表輸入'!$B$5:$B$39,D$144),Lists!$C$18&lt;SUMIFS('員工更表輸入'!$F$5:$F$39,'員工更表輸入'!$A$5:$A$39,'設定 Settings'!$A$8,'員工更表輸入'!$B$5:$B$39,D$144)),"Break","Work"))</f>
        <v/>
      </c>
      <c r="E161" s="24">
        <f>IF(OR(SUMIFS('員工更表輸入'!$D$5:$D$39,'員工更表輸入'!$A$5:$A$39,'設定 Settings'!$A$8,'員工更表輸入'!$B$5:$B$39,E$144)&lt;=0,Lists!$C$18&lt;SUMIFS('員工更表輸入'!$C$5:$C$39,'員工更表輸入'!$A$5:$A$39,'設定 Settings'!$A$8,'員工更表輸入'!$B$5:$B$39,E$144),Lists!$C$18&gt;=SUMIFS('員工更表輸入'!$D$5:$D$39,'員工更表輸入'!$A$5:$A$39,'設定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Settings'!$A$8,'員工更表輸入'!$B$5:$B$39,E$144)&gt;0,Lists!$C$18&gt;=SUMIFS('員工更表輸入'!$E$5:$E$39,'員工更表輸入'!$A$5:$A$39,'設定 Settings'!$A$8,'員工更表輸入'!$B$5:$B$39,E$144),Lists!$C$18&lt;SUMIFS('員工更表輸入'!$F$5:$F$39,'員工更表輸入'!$A$5:$A$39,'設定 Settings'!$A$8,'員工更表輸入'!$B$5:$B$39,E$144)),"Break","Work"))</f>
        <v/>
      </c>
      <c r="F161" s="24">
        <f>IF(OR(SUMIFS('員工更表輸入'!$D$5:$D$39,'員工更表輸入'!$A$5:$A$39,'設定 Settings'!$A$8,'員工更表輸入'!$B$5:$B$39,F$144)&lt;=0,Lists!$C$18&lt;SUMIFS('員工更表輸入'!$C$5:$C$39,'員工更表輸入'!$A$5:$A$39,'設定 Settings'!$A$8,'員工更表輸入'!$B$5:$B$39,F$144),Lists!$C$18&gt;=SUMIFS('員工更表輸入'!$D$5:$D$39,'員工更表輸入'!$A$5:$A$39,'設定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Settings'!$A$8,'員工更表輸入'!$B$5:$B$39,F$144)&gt;0,Lists!$C$18&gt;=SUMIFS('員工更表輸入'!$E$5:$E$39,'員工更表輸入'!$A$5:$A$39,'設定 Settings'!$A$8,'員工更表輸入'!$B$5:$B$39,F$144),Lists!$C$18&lt;SUMIFS('員工更表輸入'!$F$5:$F$39,'員工更表輸入'!$A$5:$A$39,'設定 Settings'!$A$8,'員工更表輸入'!$B$5:$B$39,F$144)),"Break","Work"))</f>
        <v/>
      </c>
      <c r="G161" s="24">
        <f>IF(OR(SUMIFS('員工更表輸入'!$D$5:$D$39,'員工更表輸入'!$A$5:$A$39,'設定 Settings'!$A$8,'員工更表輸入'!$B$5:$B$39,G$144)&lt;=0,Lists!$C$18&lt;SUMIFS('員工更表輸入'!$C$5:$C$39,'員工更表輸入'!$A$5:$A$39,'設定 Settings'!$A$8,'員工更表輸入'!$B$5:$B$39,G$144),Lists!$C$18&gt;=SUMIFS('員工更表輸入'!$D$5:$D$39,'員工更表輸入'!$A$5:$A$39,'設定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Settings'!$A$8,'員工更表輸入'!$B$5:$B$39,G$144)&gt;0,Lists!$C$18&gt;=SUMIFS('員工更表輸入'!$E$5:$E$39,'員工更表輸入'!$A$5:$A$39,'設定 Settings'!$A$8,'員工更表輸入'!$B$5:$B$39,G$144),Lists!$C$18&lt;SUMIFS('員工更表輸入'!$F$5:$F$39,'員工更表輸入'!$A$5:$A$39,'設定 Settings'!$A$8,'員工更表輸入'!$B$5:$B$39,G$144)),"Break","Work"))</f>
        <v/>
      </c>
      <c r="H161" s="24">
        <f>IF(OR(SUMIFS('員工更表輸入'!$D$5:$D$39,'員工更表輸入'!$A$5:$A$39,'設定 Settings'!$A$8,'員工更表輸入'!$B$5:$B$39,H$144)&lt;=0,Lists!$C$18&lt;SUMIFS('員工更表輸入'!$C$5:$C$39,'員工更表輸入'!$A$5:$A$39,'設定 Settings'!$A$8,'員工更表輸入'!$B$5:$B$39,H$144),Lists!$C$18&gt;=SUMIFS('員工更表輸入'!$D$5:$D$39,'員工更表輸入'!$A$5:$A$39,'設定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Settings'!$A$8,'員工更表輸入'!$B$5:$B$39,H$144)&gt;0,Lists!$C$18&gt;=SUMIFS('員工更表輸入'!$E$5:$E$39,'員工更表輸入'!$A$5:$A$39,'設定 Settings'!$A$8,'員工更表輸入'!$B$5:$B$39,H$144),Lists!$C$18&lt;SUMIFS('員工更表輸入'!$F$5:$F$39,'員工更表輸入'!$A$5:$A$39,'設定 Settings'!$A$8,'員工更表輸入'!$B$5:$B$39,H$144)),"Break","Work"))</f>
        <v/>
      </c>
    </row>
    <row r="162">
      <c r="A162" s="22" t="inlineStr">
        <is>
          <t>6:15pm-6:45pm</t>
        </is>
      </c>
      <c r="B162" s="24">
        <f>IF(OR(SUMIFS('員工更表輸入'!$D$5:$D$39,'員工更表輸入'!$A$5:$A$39,'設定 Settings'!$A$8,'員工更表輸入'!$B$5:$B$39,B$144)&lt;=0,Lists!$C$19&lt;SUMIFS('員工更表輸入'!$C$5:$C$39,'員工更表輸入'!$A$5:$A$39,'設定 Settings'!$A$8,'員工更表輸入'!$B$5:$B$39,B$144),Lists!$C$19&gt;=SUMIFS('員工更表輸入'!$D$5:$D$39,'員工更表輸入'!$A$5:$A$39,'設定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Settings'!$A$8,'員工更表輸入'!$B$5:$B$39,B$144)&gt;0,Lists!$C$19&gt;=SUMIFS('員工更表輸入'!$E$5:$E$39,'員工更表輸入'!$A$5:$A$39,'設定 Settings'!$A$8,'員工更表輸入'!$B$5:$B$39,B$144),Lists!$C$19&lt;SUMIFS('員工更表輸入'!$F$5:$F$39,'員工更表輸入'!$A$5:$A$39,'設定 Settings'!$A$8,'員工更表輸入'!$B$5:$B$39,B$144)),"Break","Work"))</f>
        <v/>
      </c>
      <c r="C162" s="24">
        <f>IF(OR(SUMIFS('員工更表輸入'!$D$5:$D$39,'員工更表輸入'!$A$5:$A$39,'設定 Settings'!$A$8,'員工更表輸入'!$B$5:$B$39,C$144)&lt;=0,Lists!$C$19&lt;SUMIFS('員工更表輸入'!$C$5:$C$39,'員工更表輸入'!$A$5:$A$39,'設定 Settings'!$A$8,'員工更表輸入'!$B$5:$B$39,C$144),Lists!$C$19&gt;=SUMIFS('員工更表輸入'!$D$5:$D$39,'員工更表輸入'!$A$5:$A$39,'設定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Settings'!$A$8,'員工更表輸入'!$B$5:$B$39,C$144)&gt;0,Lists!$C$19&gt;=SUMIFS('員工更表輸入'!$E$5:$E$39,'員工更表輸入'!$A$5:$A$39,'設定 Settings'!$A$8,'員工更表輸入'!$B$5:$B$39,C$144),Lists!$C$19&lt;SUMIFS('員工更表輸入'!$F$5:$F$39,'員工更表輸入'!$A$5:$A$39,'設定 Settings'!$A$8,'員工更表輸入'!$B$5:$B$39,C$144)),"Break","Work"))</f>
        <v/>
      </c>
      <c r="D162" s="24">
        <f>IF(OR(SUMIFS('員工更表輸入'!$D$5:$D$39,'員工更表輸入'!$A$5:$A$39,'設定 Settings'!$A$8,'員工更表輸入'!$B$5:$B$39,D$144)&lt;=0,Lists!$C$19&lt;SUMIFS('員工更表輸入'!$C$5:$C$39,'員工更表輸入'!$A$5:$A$39,'設定 Settings'!$A$8,'員工更表輸入'!$B$5:$B$39,D$144),Lists!$C$19&gt;=SUMIFS('員工更表輸入'!$D$5:$D$39,'員工更表輸入'!$A$5:$A$39,'設定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Settings'!$A$8,'員工更表輸入'!$B$5:$B$39,D$144)&gt;0,Lists!$C$19&gt;=SUMIFS('員工更表輸入'!$E$5:$E$39,'員工更表輸入'!$A$5:$A$39,'設定 Settings'!$A$8,'員工更表輸入'!$B$5:$B$39,D$144),Lists!$C$19&lt;SUMIFS('員工更表輸入'!$F$5:$F$39,'員工更表輸入'!$A$5:$A$39,'設定 Settings'!$A$8,'員工更表輸入'!$B$5:$B$39,D$144)),"Break","Work"))</f>
        <v/>
      </c>
      <c r="E162" s="24">
        <f>IF(OR(SUMIFS('員工更表輸入'!$D$5:$D$39,'員工更表輸入'!$A$5:$A$39,'設定 Settings'!$A$8,'員工更表輸入'!$B$5:$B$39,E$144)&lt;=0,Lists!$C$19&lt;SUMIFS('員工更表輸入'!$C$5:$C$39,'員工更表輸入'!$A$5:$A$39,'設定 Settings'!$A$8,'員工更表輸入'!$B$5:$B$39,E$144),Lists!$C$19&gt;=SUMIFS('員工更表輸入'!$D$5:$D$39,'員工更表輸入'!$A$5:$A$39,'設定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Settings'!$A$8,'員工更表輸入'!$B$5:$B$39,E$144)&gt;0,Lists!$C$19&gt;=SUMIFS('員工更表輸入'!$E$5:$E$39,'員工更表輸入'!$A$5:$A$39,'設定 Settings'!$A$8,'員工更表輸入'!$B$5:$B$39,E$144),Lists!$C$19&lt;SUMIFS('員工更表輸入'!$F$5:$F$39,'員工更表輸入'!$A$5:$A$39,'設定 Settings'!$A$8,'員工更表輸入'!$B$5:$B$39,E$144)),"Break","Work"))</f>
        <v/>
      </c>
      <c r="F162" s="24">
        <f>IF(OR(SUMIFS('員工更表輸入'!$D$5:$D$39,'員工更表輸入'!$A$5:$A$39,'設定 Settings'!$A$8,'員工更表輸入'!$B$5:$B$39,F$144)&lt;=0,Lists!$C$19&lt;SUMIFS('員工更表輸入'!$C$5:$C$39,'員工更表輸入'!$A$5:$A$39,'設定 Settings'!$A$8,'員工更表輸入'!$B$5:$B$39,F$144),Lists!$C$19&gt;=SUMIFS('員工更表輸入'!$D$5:$D$39,'員工更表輸入'!$A$5:$A$39,'設定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Settings'!$A$8,'員工更表輸入'!$B$5:$B$39,F$144)&gt;0,Lists!$C$19&gt;=SUMIFS('員工更表輸入'!$E$5:$E$39,'員工更表輸入'!$A$5:$A$39,'設定 Settings'!$A$8,'員工更表輸入'!$B$5:$B$39,F$144),Lists!$C$19&lt;SUMIFS('員工更表輸入'!$F$5:$F$39,'員工更表輸入'!$A$5:$A$39,'設定 Settings'!$A$8,'員工更表輸入'!$B$5:$B$39,F$144)),"Break","Work"))</f>
        <v/>
      </c>
      <c r="G162" s="24">
        <f>IF(OR(SUMIFS('員工更表輸入'!$D$5:$D$39,'員工更表輸入'!$A$5:$A$39,'設定 Settings'!$A$8,'員工更表輸入'!$B$5:$B$39,G$144)&lt;=0,Lists!$C$19&lt;SUMIFS('員工更表輸入'!$C$5:$C$39,'員工更表輸入'!$A$5:$A$39,'設定 Settings'!$A$8,'員工更表輸入'!$B$5:$B$39,G$144),Lists!$C$19&gt;=SUMIFS('員工更表輸入'!$D$5:$D$39,'員工更表輸入'!$A$5:$A$39,'設定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Settings'!$A$8,'員工更表輸入'!$B$5:$B$39,G$144)&gt;0,Lists!$C$19&gt;=SUMIFS('員工更表輸入'!$E$5:$E$39,'員工更表輸入'!$A$5:$A$39,'設定 Settings'!$A$8,'員工更表輸入'!$B$5:$B$39,G$144),Lists!$C$19&lt;SUMIFS('員工更表輸入'!$F$5:$F$39,'員工更表輸入'!$A$5:$A$39,'設定 Settings'!$A$8,'員工更表輸入'!$B$5:$B$39,G$144)),"Break","Work"))</f>
        <v/>
      </c>
      <c r="H162" s="24">
        <f>IF(OR(SUMIFS('員工更表輸入'!$D$5:$D$39,'員工更表輸入'!$A$5:$A$39,'設定 Settings'!$A$8,'員工更表輸入'!$B$5:$B$39,H$144)&lt;=0,Lists!$C$19&lt;SUMIFS('員工更表輸入'!$C$5:$C$39,'員工更表輸入'!$A$5:$A$39,'設定 Settings'!$A$8,'員工更表輸入'!$B$5:$B$39,H$144),Lists!$C$19&gt;=SUMIFS('員工更表輸入'!$D$5:$D$39,'員工更表輸入'!$A$5:$A$39,'設定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Settings'!$A$8,'員工更表輸入'!$B$5:$B$39,H$144)&gt;0,Lists!$C$19&gt;=SUMIFS('員工更表輸入'!$E$5:$E$39,'員工更表輸入'!$A$5:$A$39,'設定 Settings'!$A$8,'員工更表輸入'!$B$5:$B$39,H$144),Lists!$C$19&lt;SUMIFS('員工更表輸入'!$F$5:$F$39,'員工更表輸入'!$A$5:$A$39,'設定 Settings'!$A$8,'員工更表輸入'!$B$5:$B$39,H$144)),"Break","Work"))</f>
        <v/>
      </c>
    </row>
    <row r="163">
      <c r="A163" s="22" t="inlineStr">
        <is>
          <t>6:45pm-7:15pm</t>
        </is>
      </c>
      <c r="B163" s="24">
        <f>IF(OR(SUMIFS('員工更表輸入'!$D$5:$D$39,'員工更表輸入'!$A$5:$A$39,'設定 Settings'!$A$8,'員工更表輸入'!$B$5:$B$39,B$144)&lt;=0,Lists!$C$20&lt;SUMIFS('員工更表輸入'!$C$5:$C$39,'員工更表輸入'!$A$5:$A$39,'設定 Settings'!$A$8,'員工更表輸入'!$B$5:$B$39,B$144),Lists!$C$20&gt;=SUMIFS('員工更表輸入'!$D$5:$D$39,'員工更表輸入'!$A$5:$A$39,'設定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Settings'!$A$8,'員工更表輸入'!$B$5:$B$39,B$144)&gt;0,Lists!$C$20&gt;=SUMIFS('員工更表輸入'!$E$5:$E$39,'員工更表輸入'!$A$5:$A$39,'設定 Settings'!$A$8,'員工更表輸入'!$B$5:$B$39,B$144),Lists!$C$20&lt;SUMIFS('員工更表輸入'!$F$5:$F$39,'員工更表輸入'!$A$5:$A$39,'設定 Settings'!$A$8,'員工更表輸入'!$B$5:$B$39,B$144)),"Break","Work"))</f>
        <v/>
      </c>
      <c r="C163" s="24">
        <f>IF(OR(SUMIFS('員工更表輸入'!$D$5:$D$39,'員工更表輸入'!$A$5:$A$39,'設定 Settings'!$A$8,'員工更表輸入'!$B$5:$B$39,C$144)&lt;=0,Lists!$C$20&lt;SUMIFS('員工更表輸入'!$C$5:$C$39,'員工更表輸入'!$A$5:$A$39,'設定 Settings'!$A$8,'員工更表輸入'!$B$5:$B$39,C$144),Lists!$C$20&gt;=SUMIFS('員工更表輸入'!$D$5:$D$39,'員工更表輸入'!$A$5:$A$39,'設定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Settings'!$A$8,'員工更表輸入'!$B$5:$B$39,C$144)&gt;0,Lists!$C$20&gt;=SUMIFS('員工更表輸入'!$E$5:$E$39,'員工更表輸入'!$A$5:$A$39,'設定 Settings'!$A$8,'員工更表輸入'!$B$5:$B$39,C$144),Lists!$C$20&lt;SUMIFS('員工更表輸入'!$F$5:$F$39,'員工更表輸入'!$A$5:$A$39,'設定 Settings'!$A$8,'員工更表輸入'!$B$5:$B$39,C$144)),"Break","Work"))</f>
        <v/>
      </c>
      <c r="D163" s="24">
        <f>IF(OR(SUMIFS('員工更表輸入'!$D$5:$D$39,'員工更表輸入'!$A$5:$A$39,'設定 Settings'!$A$8,'員工更表輸入'!$B$5:$B$39,D$144)&lt;=0,Lists!$C$20&lt;SUMIFS('員工更表輸入'!$C$5:$C$39,'員工更表輸入'!$A$5:$A$39,'設定 Settings'!$A$8,'員工更表輸入'!$B$5:$B$39,D$144),Lists!$C$20&gt;=SUMIFS('員工更表輸入'!$D$5:$D$39,'員工更表輸入'!$A$5:$A$39,'設定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Settings'!$A$8,'員工更表輸入'!$B$5:$B$39,D$144)&gt;0,Lists!$C$20&gt;=SUMIFS('員工更表輸入'!$E$5:$E$39,'員工更表輸入'!$A$5:$A$39,'設定 Settings'!$A$8,'員工更表輸入'!$B$5:$B$39,D$144),Lists!$C$20&lt;SUMIFS('員工更表輸入'!$F$5:$F$39,'員工更表輸入'!$A$5:$A$39,'設定 Settings'!$A$8,'員工更表輸入'!$B$5:$B$39,D$144)),"Break","Work"))</f>
        <v/>
      </c>
      <c r="E163" s="24">
        <f>IF(OR(SUMIFS('員工更表輸入'!$D$5:$D$39,'員工更表輸入'!$A$5:$A$39,'設定 Settings'!$A$8,'員工更表輸入'!$B$5:$B$39,E$144)&lt;=0,Lists!$C$20&lt;SUMIFS('員工更表輸入'!$C$5:$C$39,'員工更表輸入'!$A$5:$A$39,'設定 Settings'!$A$8,'員工更表輸入'!$B$5:$B$39,E$144),Lists!$C$20&gt;=SUMIFS('員工更表輸入'!$D$5:$D$39,'員工更表輸入'!$A$5:$A$39,'設定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Settings'!$A$8,'員工更表輸入'!$B$5:$B$39,E$144)&gt;0,Lists!$C$20&gt;=SUMIFS('員工更表輸入'!$E$5:$E$39,'員工更表輸入'!$A$5:$A$39,'設定 Settings'!$A$8,'員工更表輸入'!$B$5:$B$39,E$144),Lists!$C$20&lt;SUMIFS('員工更表輸入'!$F$5:$F$39,'員工更表輸入'!$A$5:$A$39,'設定 Settings'!$A$8,'員工更表輸入'!$B$5:$B$39,E$144)),"Break","Work"))</f>
        <v/>
      </c>
      <c r="F163" s="24">
        <f>IF(OR(SUMIFS('員工更表輸入'!$D$5:$D$39,'員工更表輸入'!$A$5:$A$39,'設定 Settings'!$A$8,'員工更表輸入'!$B$5:$B$39,F$144)&lt;=0,Lists!$C$20&lt;SUMIFS('員工更表輸入'!$C$5:$C$39,'員工更表輸入'!$A$5:$A$39,'設定 Settings'!$A$8,'員工更表輸入'!$B$5:$B$39,F$144),Lists!$C$20&gt;=SUMIFS('員工更表輸入'!$D$5:$D$39,'員工更表輸入'!$A$5:$A$39,'設定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Settings'!$A$8,'員工更表輸入'!$B$5:$B$39,F$144)&gt;0,Lists!$C$20&gt;=SUMIFS('員工更表輸入'!$E$5:$E$39,'員工更表輸入'!$A$5:$A$39,'設定 Settings'!$A$8,'員工更表輸入'!$B$5:$B$39,F$144),Lists!$C$20&lt;SUMIFS('員工更表輸入'!$F$5:$F$39,'員工更表輸入'!$A$5:$A$39,'設定 Settings'!$A$8,'員工更表輸入'!$B$5:$B$39,F$144)),"Break","Work"))</f>
        <v/>
      </c>
      <c r="G163" s="24">
        <f>IF(OR(SUMIFS('員工更表輸入'!$D$5:$D$39,'員工更表輸入'!$A$5:$A$39,'設定 Settings'!$A$8,'員工更表輸入'!$B$5:$B$39,G$144)&lt;=0,Lists!$C$20&lt;SUMIFS('員工更表輸入'!$C$5:$C$39,'員工更表輸入'!$A$5:$A$39,'設定 Settings'!$A$8,'員工更表輸入'!$B$5:$B$39,G$144),Lists!$C$20&gt;=SUMIFS('員工更表輸入'!$D$5:$D$39,'員工更表輸入'!$A$5:$A$39,'設定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Settings'!$A$8,'員工更表輸入'!$B$5:$B$39,G$144)&gt;0,Lists!$C$20&gt;=SUMIFS('員工更表輸入'!$E$5:$E$39,'員工更表輸入'!$A$5:$A$39,'設定 Settings'!$A$8,'員工更表輸入'!$B$5:$B$39,G$144),Lists!$C$20&lt;SUMIFS('員工更表輸入'!$F$5:$F$39,'員工更表輸入'!$A$5:$A$39,'設定 Settings'!$A$8,'員工更表輸入'!$B$5:$B$39,G$144)),"Break","Work"))</f>
        <v/>
      </c>
      <c r="H163" s="24">
        <f>IF(OR(SUMIFS('員工更表輸入'!$D$5:$D$39,'員工更表輸入'!$A$5:$A$39,'設定 Settings'!$A$8,'員工更表輸入'!$B$5:$B$39,H$144)&lt;=0,Lists!$C$20&lt;SUMIFS('員工更表輸入'!$C$5:$C$39,'員工更表輸入'!$A$5:$A$39,'設定 Settings'!$A$8,'員工更表輸入'!$B$5:$B$39,H$144),Lists!$C$20&gt;=SUMIFS('員工更表輸入'!$D$5:$D$39,'員工更表輸入'!$A$5:$A$39,'設定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Settings'!$A$8,'員工更表輸入'!$B$5:$B$39,H$144)&gt;0,Lists!$C$20&gt;=SUMIFS('員工更表輸入'!$E$5:$E$39,'員工更表輸入'!$A$5:$A$39,'設定 Settings'!$A$8,'員工更表輸入'!$B$5:$B$39,H$144),Lists!$C$20&lt;SUMIFS('員工更表輸入'!$F$5:$F$39,'員工更表輸入'!$A$5:$A$39,'設定 Settings'!$A$8,'員工更表輸入'!$B$5:$B$39,H$144)),"Break","Work"))</f>
        <v/>
      </c>
    </row>
    <row r="164">
      <c r="A164" s="22" t="inlineStr">
        <is>
          <t>7:15pm-7:45pm</t>
        </is>
      </c>
      <c r="B164" s="24">
        <f>IF(OR(SUMIFS('員工更表輸入'!$D$5:$D$39,'員工更表輸入'!$A$5:$A$39,'設定 Settings'!$A$8,'員工更表輸入'!$B$5:$B$39,B$144)&lt;=0,Lists!$C$21&lt;SUMIFS('員工更表輸入'!$C$5:$C$39,'員工更表輸入'!$A$5:$A$39,'設定 Settings'!$A$8,'員工更表輸入'!$B$5:$B$39,B$144),Lists!$C$21&gt;=SUMIFS('員工更表輸入'!$D$5:$D$39,'員工更表輸入'!$A$5:$A$39,'設定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Settings'!$A$8,'員工更表輸入'!$B$5:$B$39,B$144)&gt;0,Lists!$C$21&gt;=SUMIFS('員工更表輸入'!$E$5:$E$39,'員工更表輸入'!$A$5:$A$39,'設定 Settings'!$A$8,'員工更表輸入'!$B$5:$B$39,B$144),Lists!$C$21&lt;SUMIFS('員工更表輸入'!$F$5:$F$39,'員工更表輸入'!$A$5:$A$39,'設定 Settings'!$A$8,'員工更表輸入'!$B$5:$B$39,B$144)),"Break","Work"))</f>
        <v/>
      </c>
      <c r="C164" s="24">
        <f>IF(OR(SUMIFS('員工更表輸入'!$D$5:$D$39,'員工更表輸入'!$A$5:$A$39,'設定 Settings'!$A$8,'員工更表輸入'!$B$5:$B$39,C$144)&lt;=0,Lists!$C$21&lt;SUMIFS('員工更表輸入'!$C$5:$C$39,'員工更表輸入'!$A$5:$A$39,'設定 Settings'!$A$8,'員工更表輸入'!$B$5:$B$39,C$144),Lists!$C$21&gt;=SUMIFS('員工更表輸入'!$D$5:$D$39,'員工更表輸入'!$A$5:$A$39,'設定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Settings'!$A$8,'員工更表輸入'!$B$5:$B$39,C$144)&gt;0,Lists!$C$21&gt;=SUMIFS('員工更表輸入'!$E$5:$E$39,'員工更表輸入'!$A$5:$A$39,'設定 Settings'!$A$8,'員工更表輸入'!$B$5:$B$39,C$144),Lists!$C$21&lt;SUMIFS('員工更表輸入'!$F$5:$F$39,'員工更表輸入'!$A$5:$A$39,'設定 Settings'!$A$8,'員工更表輸入'!$B$5:$B$39,C$144)),"Break","Work"))</f>
        <v/>
      </c>
      <c r="D164" s="24">
        <f>IF(OR(SUMIFS('員工更表輸入'!$D$5:$D$39,'員工更表輸入'!$A$5:$A$39,'設定 Settings'!$A$8,'員工更表輸入'!$B$5:$B$39,D$144)&lt;=0,Lists!$C$21&lt;SUMIFS('員工更表輸入'!$C$5:$C$39,'員工更表輸入'!$A$5:$A$39,'設定 Settings'!$A$8,'員工更表輸入'!$B$5:$B$39,D$144),Lists!$C$21&gt;=SUMIFS('員工更表輸入'!$D$5:$D$39,'員工更表輸入'!$A$5:$A$39,'設定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Settings'!$A$8,'員工更表輸入'!$B$5:$B$39,D$144)&gt;0,Lists!$C$21&gt;=SUMIFS('員工更表輸入'!$E$5:$E$39,'員工更表輸入'!$A$5:$A$39,'設定 Settings'!$A$8,'員工更表輸入'!$B$5:$B$39,D$144),Lists!$C$21&lt;SUMIFS('員工更表輸入'!$F$5:$F$39,'員工更表輸入'!$A$5:$A$39,'設定 Settings'!$A$8,'員工更表輸入'!$B$5:$B$39,D$144)),"Break","Work"))</f>
        <v/>
      </c>
      <c r="E164" s="24">
        <f>IF(OR(SUMIFS('員工更表輸入'!$D$5:$D$39,'員工更表輸入'!$A$5:$A$39,'設定 Settings'!$A$8,'員工更表輸入'!$B$5:$B$39,E$144)&lt;=0,Lists!$C$21&lt;SUMIFS('員工更表輸入'!$C$5:$C$39,'員工更表輸入'!$A$5:$A$39,'設定 Settings'!$A$8,'員工更表輸入'!$B$5:$B$39,E$144),Lists!$C$21&gt;=SUMIFS('員工更表輸入'!$D$5:$D$39,'員工更表輸入'!$A$5:$A$39,'設定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Settings'!$A$8,'員工更表輸入'!$B$5:$B$39,E$144)&gt;0,Lists!$C$21&gt;=SUMIFS('員工更表輸入'!$E$5:$E$39,'員工更表輸入'!$A$5:$A$39,'設定 Settings'!$A$8,'員工更表輸入'!$B$5:$B$39,E$144),Lists!$C$21&lt;SUMIFS('員工更表輸入'!$F$5:$F$39,'員工更表輸入'!$A$5:$A$39,'設定 Settings'!$A$8,'員工更表輸入'!$B$5:$B$39,E$144)),"Break","Work"))</f>
        <v/>
      </c>
      <c r="F164" s="24">
        <f>IF(OR(SUMIFS('員工更表輸入'!$D$5:$D$39,'員工更表輸入'!$A$5:$A$39,'設定 Settings'!$A$8,'員工更表輸入'!$B$5:$B$39,F$144)&lt;=0,Lists!$C$21&lt;SUMIFS('員工更表輸入'!$C$5:$C$39,'員工更表輸入'!$A$5:$A$39,'設定 Settings'!$A$8,'員工更表輸入'!$B$5:$B$39,F$144),Lists!$C$21&gt;=SUMIFS('員工更表輸入'!$D$5:$D$39,'員工更表輸入'!$A$5:$A$39,'設定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Settings'!$A$8,'員工更表輸入'!$B$5:$B$39,F$144)&gt;0,Lists!$C$21&gt;=SUMIFS('員工更表輸入'!$E$5:$E$39,'員工更表輸入'!$A$5:$A$39,'設定 Settings'!$A$8,'員工更表輸入'!$B$5:$B$39,F$144),Lists!$C$21&lt;SUMIFS('員工更表輸入'!$F$5:$F$39,'員工更表輸入'!$A$5:$A$39,'設定 Settings'!$A$8,'員工更表輸入'!$B$5:$B$39,F$144)),"Break","Work"))</f>
        <v/>
      </c>
      <c r="G164" s="24">
        <f>IF(OR(SUMIFS('員工更表輸入'!$D$5:$D$39,'員工更表輸入'!$A$5:$A$39,'設定 Settings'!$A$8,'員工更表輸入'!$B$5:$B$39,G$144)&lt;=0,Lists!$C$21&lt;SUMIFS('員工更表輸入'!$C$5:$C$39,'員工更表輸入'!$A$5:$A$39,'設定 Settings'!$A$8,'員工更表輸入'!$B$5:$B$39,G$144),Lists!$C$21&gt;=SUMIFS('員工更表輸入'!$D$5:$D$39,'員工更表輸入'!$A$5:$A$39,'設定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Settings'!$A$8,'員工更表輸入'!$B$5:$B$39,G$144)&gt;0,Lists!$C$21&gt;=SUMIFS('員工更表輸入'!$E$5:$E$39,'員工更表輸入'!$A$5:$A$39,'設定 Settings'!$A$8,'員工更表輸入'!$B$5:$B$39,G$144),Lists!$C$21&lt;SUMIFS('員工更表輸入'!$F$5:$F$39,'員工更表輸入'!$A$5:$A$39,'設定 Settings'!$A$8,'員工更表輸入'!$B$5:$B$39,G$144)),"Break","Work"))</f>
        <v/>
      </c>
      <c r="H164" s="24">
        <f>IF(OR(SUMIFS('員工更表輸入'!$D$5:$D$39,'員工更表輸入'!$A$5:$A$39,'設定 Settings'!$A$8,'員工更表輸入'!$B$5:$B$39,H$144)&lt;=0,Lists!$C$21&lt;SUMIFS('員工更表輸入'!$C$5:$C$39,'員工更表輸入'!$A$5:$A$39,'設定 Settings'!$A$8,'員工更表輸入'!$B$5:$B$39,H$144),Lists!$C$21&gt;=SUMIFS('員工更表輸入'!$D$5:$D$39,'員工更表輸入'!$A$5:$A$39,'設定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Settings'!$A$8,'員工更表輸入'!$B$5:$B$39,H$144)&gt;0,Lists!$C$21&gt;=SUMIFS('員工更表輸入'!$E$5:$E$39,'員工更表輸入'!$A$5:$A$39,'設定 Settings'!$A$8,'員工更表輸入'!$B$5:$B$39,H$144),Lists!$C$21&lt;SUMIFS('員工更表輸入'!$F$5:$F$39,'員工更表輸入'!$A$5:$A$39,'設定 Settings'!$A$8,'員工更表輸入'!$B$5:$B$39,H$144)),"Break","Work"))</f>
        <v/>
      </c>
    </row>
    <row r="165">
      <c r="A165" s="22" t="inlineStr">
        <is>
          <t>7:45pm-8:15pm</t>
        </is>
      </c>
      <c r="B165" s="24">
        <f>IF(OR(SUMIFS('員工更表輸入'!$D$5:$D$39,'員工更表輸入'!$A$5:$A$39,'設定 Settings'!$A$8,'員工更表輸入'!$B$5:$B$39,B$144)&lt;=0,Lists!$C$22&lt;SUMIFS('員工更表輸入'!$C$5:$C$39,'員工更表輸入'!$A$5:$A$39,'設定 Settings'!$A$8,'員工更表輸入'!$B$5:$B$39,B$144),Lists!$C$22&gt;=SUMIFS('員工更表輸入'!$D$5:$D$39,'員工更表輸入'!$A$5:$A$39,'設定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Settings'!$A$8,'員工更表輸入'!$B$5:$B$39,B$144)&gt;0,Lists!$C$22&gt;=SUMIFS('員工更表輸入'!$E$5:$E$39,'員工更表輸入'!$A$5:$A$39,'設定 Settings'!$A$8,'員工更表輸入'!$B$5:$B$39,B$144),Lists!$C$22&lt;SUMIFS('員工更表輸入'!$F$5:$F$39,'員工更表輸入'!$A$5:$A$39,'設定 Settings'!$A$8,'員工更表輸入'!$B$5:$B$39,B$144)),"Break","Work"))</f>
        <v/>
      </c>
      <c r="C165" s="24">
        <f>IF(OR(SUMIFS('員工更表輸入'!$D$5:$D$39,'員工更表輸入'!$A$5:$A$39,'設定 Settings'!$A$8,'員工更表輸入'!$B$5:$B$39,C$144)&lt;=0,Lists!$C$22&lt;SUMIFS('員工更表輸入'!$C$5:$C$39,'員工更表輸入'!$A$5:$A$39,'設定 Settings'!$A$8,'員工更表輸入'!$B$5:$B$39,C$144),Lists!$C$22&gt;=SUMIFS('員工更表輸入'!$D$5:$D$39,'員工更表輸入'!$A$5:$A$39,'設定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Settings'!$A$8,'員工更表輸入'!$B$5:$B$39,C$144)&gt;0,Lists!$C$22&gt;=SUMIFS('員工更表輸入'!$E$5:$E$39,'員工更表輸入'!$A$5:$A$39,'設定 Settings'!$A$8,'員工更表輸入'!$B$5:$B$39,C$144),Lists!$C$22&lt;SUMIFS('員工更表輸入'!$F$5:$F$39,'員工更表輸入'!$A$5:$A$39,'設定 Settings'!$A$8,'員工更表輸入'!$B$5:$B$39,C$144)),"Break","Work"))</f>
        <v/>
      </c>
      <c r="D165" s="24">
        <f>IF(OR(SUMIFS('員工更表輸入'!$D$5:$D$39,'員工更表輸入'!$A$5:$A$39,'設定 Settings'!$A$8,'員工更表輸入'!$B$5:$B$39,D$144)&lt;=0,Lists!$C$22&lt;SUMIFS('員工更表輸入'!$C$5:$C$39,'員工更表輸入'!$A$5:$A$39,'設定 Settings'!$A$8,'員工更表輸入'!$B$5:$B$39,D$144),Lists!$C$22&gt;=SUMIFS('員工更表輸入'!$D$5:$D$39,'員工更表輸入'!$A$5:$A$39,'設定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Settings'!$A$8,'員工更表輸入'!$B$5:$B$39,D$144)&gt;0,Lists!$C$22&gt;=SUMIFS('員工更表輸入'!$E$5:$E$39,'員工更表輸入'!$A$5:$A$39,'設定 Settings'!$A$8,'員工更表輸入'!$B$5:$B$39,D$144),Lists!$C$22&lt;SUMIFS('員工更表輸入'!$F$5:$F$39,'員工更表輸入'!$A$5:$A$39,'設定 Settings'!$A$8,'員工更表輸入'!$B$5:$B$39,D$144)),"Break","Work"))</f>
        <v/>
      </c>
      <c r="E165" s="24">
        <f>IF(OR(SUMIFS('員工更表輸入'!$D$5:$D$39,'員工更表輸入'!$A$5:$A$39,'設定 Settings'!$A$8,'員工更表輸入'!$B$5:$B$39,E$144)&lt;=0,Lists!$C$22&lt;SUMIFS('員工更表輸入'!$C$5:$C$39,'員工更表輸入'!$A$5:$A$39,'設定 Settings'!$A$8,'員工更表輸入'!$B$5:$B$39,E$144),Lists!$C$22&gt;=SUMIFS('員工更表輸入'!$D$5:$D$39,'員工更表輸入'!$A$5:$A$39,'設定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Settings'!$A$8,'員工更表輸入'!$B$5:$B$39,E$144)&gt;0,Lists!$C$22&gt;=SUMIFS('員工更表輸入'!$E$5:$E$39,'員工更表輸入'!$A$5:$A$39,'設定 Settings'!$A$8,'員工更表輸入'!$B$5:$B$39,E$144),Lists!$C$22&lt;SUMIFS('員工更表輸入'!$F$5:$F$39,'員工更表輸入'!$A$5:$A$39,'設定 Settings'!$A$8,'員工更表輸入'!$B$5:$B$39,E$144)),"Break","Work"))</f>
        <v/>
      </c>
      <c r="F165" s="24">
        <f>IF(OR(SUMIFS('員工更表輸入'!$D$5:$D$39,'員工更表輸入'!$A$5:$A$39,'設定 Settings'!$A$8,'員工更表輸入'!$B$5:$B$39,F$144)&lt;=0,Lists!$C$22&lt;SUMIFS('員工更表輸入'!$C$5:$C$39,'員工更表輸入'!$A$5:$A$39,'設定 Settings'!$A$8,'員工更表輸入'!$B$5:$B$39,F$144),Lists!$C$22&gt;=SUMIFS('員工更表輸入'!$D$5:$D$39,'員工更表輸入'!$A$5:$A$39,'設定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Settings'!$A$8,'員工更表輸入'!$B$5:$B$39,F$144)&gt;0,Lists!$C$22&gt;=SUMIFS('員工更表輸入'!$E$5:$E$39,'員工更表輸入'!$A$5:$A$39,'設定 Settings'!$A$8,'員工更表輸入'!$B$5:$B$39,F$144),Lists!$C$22&lt;SUMIFS('員工更表輸入'!$F$5:$F$39,'員工更表輸入'!$A$5:$A$39,'設定 Settings'!$A$8,'員工更表輸入'!$B$5:$B$39,F$144)),"Break","Work"))</f>
        <v/>
      </c>
      <c r="G165" s="24">
        <f>IF(OR(SUMIFS('員工更表輸入'!$D$5:$D$39,'員工更表輸入'!$A$5:$A$39,'設定 Settings'!$A$8,'員工更表輸入'!$B$5:$B$39,G$144)&lt;=0,Lists!$C$22&lt;SUMIFS('員工更表輸入'!$C$5:$C$39,'員工更表輸入'!$A$5:$A$39,'設定 Settings'!$A$8,'員工更表輸入'!$B$5:$B$39,G$144),Lists!$C$22&gt;=SUMIFS('員工更表輸入'!$D$5:$D$39,'員工更表輸入'!$A$5:$A$39,'設定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Settings'!$A$8,'員工更表輸入'!$B$5:$B$39,G$144)&gt;0,Lists!$C$22&gt;=SUMIFS('員工更表輸入'!$E$5:$E$39,'員工更表輸入'!$A$5:$A$39,'設定 Settings'!$A$8,'員工更表輸入'!$B$5:$B$39,G$144),Lists!$C$22&lt;SUMIFS('員工更表輸入'!$F$5:$F$39,'員工更表輸入'!$A$5:$A$39,'設定 Settings'!$A$8,'員工更表輸入'!$B$5:$B$39,G$144)),"Break","Work"))</f>
        <v/>
      </c>
      <c r="H165" s="24">
        <f>IF(OR(SUMIFS('員工更表輸入'!$D$5:$D$39,'員工更表輸入'!$A$5:$A$39,'設定 Settings'!$A$8,'員工更表輸入'!$B$5:$B$39,H$144)&lt;=0,Lists!$C$22&lt;SUMIFS('員工更表輸入'!$C$5:$C$39,'員工更表輸入'!$A$5:$A$39,'設定 Settings'!$A$8,'員工更表輸入'!$B$5:$B$39,H$144),Lists!$C$22&gt;=SUMIFS('員工更表輸入'!$D$5:$D$39,'員工更表輸入'!$A$5:$A$39,'設定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Settings'!$A$8,'員工更表輸入'!$B$5:$B$39,H$144)&gt;0,Lists!$C$22&gt;=SUMIFS('員工更表輸入'!$E$5:$E$39,'員工更表輸入'!$A$5:$A$39,'設定 Settings'!$A$8,'員工更表輸入'!$B$5:$B$39,H$144),Lists!$C$22&lt;SUMIFS('員工更表輸入'!$F$5:$F$39,'員工更表輸入'!$A$5:$A$39,'設定 Settings'!$A$8,'員工更表輸入'!$B$5:$B$39,H$144)),"Break","Work"))</f>
        <v/>
      </c>
    </row>
    <row r="166">
      <c r="A166" s="22" t="inlineStr">
        <is>
          <t>8:15pm-8:45pm</t>
        </is>
      </c>
      <c r="B166" s="24">
        <f>IF(OR(SUMIFS('員工更表輸入'!$D$5:$D$39,'員工更表輸入'!$A$5:$A$39,'設定 Settings'!$A$8,'員工更表輸入'!$B$5:$B$39,B$144)&lt;=0,Lists!$C$23&lt;SUMIFS('員工更表輸入'!$C$5:$C$39,'員工更表輸入'!$A$5:$A$39,'設定 Settings'!$A$8,'員工更表輸入'!$B$5:$B$39,B$144),Lists!$C$23&gt;=SUMIFS('員工更表輸入'!$D$5:$D$39,'員工更表輸入'!$A$5:$A$39,'設定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Settings'!$A$8,'員工更表輸入'!$B$5:$B$39,B$144)&gt;0,Lists!$C$23&gt;=SUMIFS('員工更表輸入'!$E$5:$E$39,'員工更表輸入'!$A$5:$A$39,'設定 Settings'!$A$8,'員工更表輸入'!$B$5:$B$39,B$144),Lists!$C$23&lt;SUMIFS('員工更表輸入'!$F$5:$F$39,'員工更表輸入'!$A$5:$A$39,'設定 Settings'!$A$8,'員工更表輸入'!$B$5:$B$39,B$144)),"Break","Work"))</f>
        <v/>
      </c>
      <c r="C166" s="24">
        <f>IF(OR(SUMIFS('員工更表輸入'!$D$5:$D$39,'員工更表輸入'!$A$5:$A$39,'設定 Settings'!$A$8,'員工更表輸入'!$B$5:$B$39,C$144)&lt;=0,Lists!$C$23&lt;SUMIFS('員工更表輸入'!$C$5:$C$39,'員工更表輸入'!$A$5:$A$39,'設定 Settings'!$A$8,'員工更表輸入'!$B$5:$B$39,C$144),Lists!$C$23&gt;=SUMIFS('員工更表輸入'!$D$5:$D$39,'員工更表輸入'!$A$5:$A$39,'設定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Settings'!$A$8,'員工更表輸入'!$B$5:$B$39,C$144)&gt;0,Lists!$C$23&gt;=SUMIFS('員工更表輸入'!$E$5:$E$39,'員工更表輸入'!$A$5:$A$39,'設定 Settings'!$A$8,'員工更表輸入'!$B$5:$B$39,C$144),Lists!$C$23&lt;SUMIFS('員工更表輸入'!$F$5:$F$39,'員工更表輸入'!$A$5:$A$39,'設定 Settings'!$A$8,'員工更表輸入'!$B$5:$B$39,C$144)),"Break","Work"))</f>
        <v/>
      </c>
      <c r="D166" s="24">
        <f>IF(OR(SUMIFS('員工更表輸入'!$D$5:$D$39,'員工更表輸入'!$A$5:$A$39,'設定 Settings'!$A$8,'員工更表輸入'!$B$5:$B$39,D$144)&lt;=0,Lists!$C$23&lt;SUMIFS('員工更表輸入'!$C$5:$C$39,'員工更表輸入'!$A$5:$A$39,'設定 Settings'!$A$8,'員工更表輸入'!$B$5:$B$39,D$144),Lists!$C$23&gt;=SUMIFS('員工更表輸入'!$D$5:$D$39,'員工更表輸入'!$A$5:$A$39,'設定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Settings'!$A$8,'員工更表輸入'!$B$5:$B$39,D$144)&gt;0,Lists!$C$23&gt;=SUMIFS('員工更表輸入'!$E$5:$E$39,'員工更表輸入'!$A$5:$A$39,'設定 Settings'!$A$8,'員工更表輸入'!$B$5:$B$39,D$144),Lists!$C$23&lt;SUMIFS('員工更表輸入'!$F$5:$F$39,'員工更表輸入'!$A$5:$A$39,'設定 Settings'!$A$8,'員工更表輸入'!$B$5:$B$39,D$144)),"Break","Work"))</f>
        <v/>
      </c>
      <c r="E166" s="24">
        <f>IF(OR(SUMIFS('員工更表輸入'!$D$5:$D$39,'員工更表輸入'!$A$5:$A$39,'設定 Settings'!$A$8,'員工更表輸入'!$B$5:$B$39,E$144)&lt;=0,Lists!$C$23&lt;SUMIFS('員工更表輸入'!$C$5:$C$39,'員工更表輸入'!$A$5:$A$39,'設定 Settings'!$A$8,'員工更表輸入'!$B$5:$B$39,E$144),Lists!$C$23&gt;=SUMIFS('員工更表輸入'!$D$5:$D$39,'員工更表輸入'!$A$5:$A$39,'設定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Settings'!$A$8,'員工更表輸入'!$B$5:$B$39,E$144)&gt;0,Lists!$C$23&gt;=SUMIFS('員工更表輸入'!$E$5:$E$39,'員工更表輸入'!$A$5:$A$39,'設定 Settings'!$A$8,'員工更表輸入'!$B$5:$B$39,E$144),Lists!$C$23&lt;SUMIFS('員工更表輸入'!$F$5:$F$39,'員工更表輸入'!$A$5:$A$39,'設定 Settings'!$A$8,'員工更表輸入'!$B$5:$B$39,E$144)),"Break","Work"))</f>
        <v/>
      </c>
      <c r="F166" s="24">
        <f>IF(OR(SUMIFS('員工更表輸入'!$D$5:$D$39,'員工更表輸入'!$A$5:$A$39,'設定 Settings'!$A$8,'員工更表輸入'!$B$5:$B$39,F$144)&lt;=0,Lists!$C$23&lt;SUMIFS('員工更表輸入'!$C$5:$C$39,'員工更表輸入'!$A$5:$A$39,'設定 Settings'!$A$8,'員工更表輸入'!$B$5:$B$39,F$144),Lists!$C$23&gt;=SUMIFS('員工更表輸入'!$D$5:$D$39,'員工更表輸入'!$A$5:$A$39,'設定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Settings'!$A$8,'員工更表輸入'!$B$5:$B$39,F$144)&gt;0,Lists!$C$23&gt;=SUMIFS('員工更表輸入'!$E$5:$E$39,'員工更表輸入'!$A$5:$A$39,'設定 Settings'!$A$8,'員工更表輸入'!$B$5:$B$39,F$144),Lists!$C$23&lt;SUMIFS('員工更表輸入'!$F$5:$F$39,'員工更表輸入'!$A$5:$A$39,'設定 Settings'!$A$8,'員工更表輸入'!$B$5:$B$39,F$144)),"Break","Work"))</f>
        <v/>
      </c>
      <c r="G166" s="24">
        <f>IF(OR(SUMIFS('員工更表輸入'!$D$5:$D$39,'員工更表輸入'!$A$5:$A$39,'設定 Settings'!$A$8,'員工更表輸入'!$B$5:$B$39,G$144)&lt;=0,Lists!$C$23&lt;SUMIFS('員工更表輸入'!$C$5:$C$39,'員工更表輸入'!$A$5:$A$39,'設定 Settings'!$A$8,'員工更表輸入'!$B$5:$B$39,G$144),Lists!$C$23&gt;=SUMIFS('員工更表輸入'!$D$5:$D$39,'員工更表輸入'!$A$5:$A$39,'設定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Settings'!$A$8,'員工更表輸入'!$B$5:$B$39,G$144)&gt;0,Lists!$C$23&gt;=SUMIFS('員工更表輸入'!$E$5:$E$39,'員工更表輸入'!$A$5:$A$39,'設定 Settings'!$A$8,'員工更表輸入'!$B$5:$B$39,G$144),Lists!$C$23&lt;SUMIFS('員工更表輸入'!$F$5:$F$39,'員工更表輸入'!$A$5:$A$39,'設定 Settings'!$A$8,'員工更表輸入'!$B$5:$B$39,G$144)),"Break","Work"))</f>
        <v/>
      </c>
      <c r="H166" s="24">
        <f>IF(OR(SUMIFS('員工更表輸入'!$D$5:$D$39,'員工更表輸入'!$A$5:$A$39,'設定 Settings'!$A$8,'員工更表輸入'!$B$5:$B$39,H$144)&lt;=0,Lists!$C$23&lt;SUMIFS('員工更表輸入'!$C$5:$C$39,'員工更表輸入'!$A$5:$A$39,'設定 Settings'!$A$8,'員工更表輸入'!$B$5:$B$39,H$144),Lists!$C$23&gt;=SUMIFS('員工更表輸入'!$D$5:$D$39,'員工更表輸入'!$A$5:$A$39,'設定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Settings'!$A$8,'員工更表輸入'!$B$5:$B$39,H$144)&gt;0,Lists!$C$23&gt;=SUMIFS('員工更表輸入'!$E$5:$E$39,'員工更表輸入'!$A$5:$A$39,'設定 Settings'!$A$8,'員工更表輸入'!$B$5:$B$39,H$144),Lists!$C$23&lt;SUMIFS('員工更表輸入'!$F$5:$F$39,'員工更表輸入'!$A$5:$A$39,'設定 Settings'!$A$8,'員工更表輸入'!$B$5:$B$39,H$144)),"Break","Work"))</f>
        <v/>
      </c>
    </row>
    <row r="167">
      <c r="A167" s="22" t="inlineStr">
        <is>
          <t>8:45pm-9:15pm</t>
        </is>
      </c>
      <c r="B167" s="24">
        <f>IF(OR(SUMIFS('員工更表輸入'!$D$5:$D$39,'員工更表輸入'!$A$5:$A$39,'設定 Settings'!$A$8,'員工更表輸入'!$B$5:$B$39,B$144)&lt;=0,Lists!$C$24&lt;SUMIFS('員工更表輸入'!$C$5:$C$39,'員工更表輸入'!$A$5:$A$39,'設定 Settings'!$A$8,'員工更表輸入'!$B$5:$B$39,B$144),Lists!$C$24&gt;=SUMIFS('員工更表輸入'!$D$5:$D$39,'員工更表輸入'!$A$5:$A$39,'設定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Settings'!$A$8,'員工更表輸入'!$B$5:$B$39,B$144)&gt;0,Lists!$C$24&gt;=SUMIFS('員工更表輸入'!$E$5:$E$39,'員工更表輸入'!$A$5:$A$39,'設定 Settings'!$A$8,'員工更表輸入'!$B$5:$B$39,B$144),Lists!$C$24&lt;SUMIFS('員工更表輸入'!$F$5:$F$39,'員工更表輸入'!$A$5:$A$39,'設定 Settings'!$A$8,'員工更表輸入'!$B$5:$B$39,B$144)),"Break","Work"))</f>
        <v/>
      </c>
      <c r="C167" s="24">
        <f>IF(OR(SUMIFS('員工更表輸入'!$D$5:$D$39,'員工更表輸入'!$A$5:$A$39,'設定 Settings'!$A$8,'員工更表輸入'!$B$5:$B$39,C$144)&lt;=0,Lists!$C$24&lt;SUMIFS('員工更表輸入'!$C$5:$C$39,'員工更表輸入'!$A$5:$A$39,'設定 Settings'!$A$8,'員工更表輸入'!$B$5:$B$39,C$144),Lists!$C$24&gt;=SUMIFS('員工更表輸入'!$D$5:$D$39,'員工更表輸入'!$A$5:$A$39,'設定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Settings'!$A$8,'員工更表輸入'!$B$5:$B$39,C$144)&gt;0,Lists!$C$24&gt;=SUMIFS('員工更表輸入'!$E$5:$E$39,'員工更表輸入'!$A$5:$A$39,'設定 Settings'!$A$8,'員工更表輸入'!$B$5:$B$39,C$144),Lists!$C$24&lt;SUMIFS('員工更表輸入'!$F$5:$F$39,'員工更表輸入'!$A$5:$A$39,'設定 Settings'!$A$8,'員工更表輸入'!$B$5:$B$39,C$144)),"Break","Work"))</f>
        <v/>
      </c>
      <c r="D167" s="24">
        <f>IF(OR(SUMIFS('員工更表輸入'!$D$5:$D$39,'員工更表輸入'!$A$5:$A$39,'設定 Settings'!$A$8,'員工更表輸入'!$B$5:$B$39,D$144)&lt;=0,Lists!$C$24&lt;SUMIFS('員工更表輸入'!$C$5:$C$39,'員工更表輸入'!$A$5:$A$39,'設定 Settings'!$A$8,'員工更表輸入'!$B$5:$B$39,D$144),Lists!$C$24&gt;=SUMIFS('員工更表輸入'!$D$5:$D$39,'員工更表輸入'!$A$5:$A$39,'設定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Settings'!$A$8,'員工更表輸入'!$B$5:$B$39,D$144)&gt;0,Lists!$C$24&gt;=SUMIFS('員工更表輸入'!$E$5:$E$39,'員工更表輸入'!$A$5:$A$39,'設定 Settings'!$A$8,'員工更表輸入'!$B$5:$B$39,D$144),Lists!$C$24&lt;SUMIFS('員工更表輸入'!$F$5:$F$39,'員工更表輸入'!$A$5:$A$39,'設定 Settings'!$A$8,'員工更表輸入'!$B$5:$B$39,D$144)),"Break","Work"))</f>
        <v/>
      </c>
      <c r="E167" s="24">
        <f>IF(OR(SUMIFS('員工更表輸入'!$D$5:$D$39,'員工更表輸入'!$A$5:$A$39,'設定 Settings'!$A$8,'員工更表輸入'!$B$5:$B$39,E$144)&lt;=0,Lists!$C$24&lt;SUMIFS('員工更表輸入'!$C$5:$C$39,'員工更表輸入'!$A$5:$A$39,'設定 Settings'!$A$8,'員工更表輸入'!$B$5:$B$39,E$144),Lists!$C$24&gt;=SUMIFS('員工更表輸入'!$D$5:$D$39,'員工更表輸入'!$A$5:$A$39,'設定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Settings'!$A$8,'員工更表輸入'!$B$5:$B$39,E$144)&gt;0,Lists!$C$24&gt;=SUMIFS('員工更表輸入'!$E$5:$E$39,'員工更表輸入'!$A$5:$A$39,'設定 Settings'!$A$8,'員工更表輸入'!$B$5:$B$39,E$144),Lists!$C$24&lt;SUMIFS('員工更表輸入'!$F$5:$F$39,'員工更表輸入'!$A$5:$A$39,'設定 Settings'!$A$8,'員工更表輸入'!$B$5:$B$39,E$144)),"Break","Work"))</f>
        <v/>
      </c>
      <c r="F167" s="24">
        <f>IF(OR(SUMIFS('員工更表輸入'!$D$5:$D$39,'員工更表輸入'!$A$5:$A$39,'設定 Settings'!$A$8,'員工更表輸入'!$B$5:$B$39,F$144)&lt;=0,Lists!$C$24&lt;SUMIFS('員工更表輸入'!$C$5:$C$39,'員工更表輸入'!$A$5:$A$39,'設定 Settings'!$A$8,'員工更表輸入'!$B$5:$B$39,F$144),Lists!$C$24&gt;=SUMIFS('員工更表輸入'!$D$5:$D$39,'員工更表輸入'!$A$5:$A$39,'設定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Settings'!$A$8,'員工更表輸入'!$B$5:$B$39,F$144)&gt;0,Lists!$C$24&gt;=SUMIFS('員工更表輸入'!$E$5:$E$39,'員工更表輸入'!$A$5:$A$39,'設定 Settings'!$A$8,'員工更表輸入'!$B$5:$B$39,F$144),Lists!$C$24&lt;SUMIFS('員工更表輸入'!$F$5:$F$39,'員工更表輸入'!$A$5:$A$39,'設定 Settings'!$A$8,'員工更表輸入'!$B$5:$B$39,F$144)),"Break","Work"))</f>
        <v/>
      </c>
      <c r="G167" s="24">
        <f>IF(OR(SUMIFS('員工更表輸入'!$D$5:$D$39,'員工更表輸入'!$A$5:$A$39,'設定 Settings'!$A$8,'員工更表輸入'!$B$5:$B$39,G$144)&lt;=0,Lists!$C$24&lt;SUMIFS('員工更表輸入'!$C$5:$C$39,'員工更表輸入'!$A$5:$A$39,'設定 Settings'!$A$8,'員工更表輸入'!$B$5:$B$39,G$144),Lists!$C$24&gt;=SUMIFS('員工更表輸入'!$D$5:$D$39,'員工更表輸入'!$A$5:$A$39,'設定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Settings'!$A$8,'員工更表輸入'!$B$5:$B$39,G$144)&gt;0,Lists!$C$24&gt;=SUMIFS('員工更表輸入'!$E$5:$E$39,'員工更表輸入'!$A$5:$A$39,'設定 Settings'!$A$8,'員工更表輸入'!$B$5:$B$39,G$144),Lists!$C$24&lt;SUMIFS('員工更表輸入'!$F$5:$F$39,'員工更表輸入'!$A$5:$A$39,'設定 Settings'!$A$8,'員工更表輸入'!$B$5:$B$39,G$144)),"Break","Work"))</f>
        <v/>
      </c>
      <c r="H167" s="24">
        <f>IF(OR(SUMIFS('員工更表輸入'!$D$5:$D$39,'員工更表輸入'!$A$5:$A$39,'設定 Settings'!$A$8,'員工更表輸入'!$B$5:$B$39,H$144)&lt;=0,Lists!$C$24&lt;SUMIFS('員工更表輸入'!$C$5:$C$39,'員工更表輸入'!$A$5:$A$39,'設定 Settings'!$A$8,'員工更表輸入'!$B$5:$B$39,H$144),Lists!$C$24&gt;=SUMIFS('員工更表輸入'!$D$5:$D$39,'員工更表輸入'!$A$5:$A$39,'設定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Settings'!$A$8,'員工更表輸入'!$B$5:$B$39,H$144)&gt;0,Lists!$C$24&gt;=SUMIFS('員工更表輸入'!$E$5:$E$39,'員工更表輸入'!$A$5:$A$39,'設定 Settings'!$A$8,'員工更表輸入'!$B$5:$B$39,H$144),Lists!$C$24&lt;SUMIFS('員工更表輸入'!$F$5:$F$39,'員工更表輸入'!$A$5:$A$39,'設定 Settings'!$A$8,'員工更表輸入'!$B$5:$B$39,H$144)),"Break","Work"))</f>
        <v/>
      </c>
    </row>
    <row r="168">
      <c r="A168" s="22" t="inlineStr">
        <is>
          <t>9:15pm-9:45pm</t>
        </is>
      </c>
      <c r="B168" s="24">
        <f>IF(OR(SUMIFS('員工更表輸入'!$D$5:$D$39,'員工更表輸入'!$A$5:$A$39,'設定 Settings'!$A$8,'員工更表輸入'!$B$5:$B$39,B$144)&lt;=0,Lists!$C$25&lt;SUMIFS('員工更表輸入'!$C$5:$C$39,'員工更表輸入'!$A$5:$A$39,'設定 Settings'!$A$8,'員工更表輸入'!$B$5:$B$39,B$144),Lists!$C$25&gt;=SUMIFS('員工更表輸入'!$D$5:$D$39,'員工更表輸入'!$A$5:$A$39,'設定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Settings'!$A$8,'員工更表輸入'!$B$5:$B$39,B$144)&gt;0,Lists!$C$25&gt;=SUMIFS('員工更表輸入'!$E$5:$E$39,'員工更表輸入'!$A$5:$A$39,'設定 Settings'!$A$8,'員工更表輸入'!$B$5:$B$39,B$144),Lists!$C$25&lt;SUMIFS('員工更表輸入'!$F$5:$F$39,'員工更表輸入'!$A$5:$A$39,'設定 Settings'!$A$8,'員工更表輸入'!$B$5:$B$39,B$144)),"Break","Work"))</f>
        <v/>
      </c>
      <c r="C168" s="24">
        <f>IF(OR(SUMIFS('員工更表輸入'!$D$5:$D$39,'員工更表輸入'!$A$5:$A$39,'設定 Settings'!$A$8,'員工更表輸入'!$B$5:$B$39,C$144)&lt;=0,Lists!$C$25&lt;SUMIFS('員工更表輸入'!$C$5:$C$39,'員工更表輸入'!$A$5:$A$39,'設定 Settings'!$A$8,'員工更表輸入'!$B$5:$B$39,C$144),Lists!$C$25&gt;=SUMIFS('員工更表輸入'!$D$5:$D$39,'員工更表輸入'!$A$5:$A$39,'設定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Settings'!$A$8,'員工更表輸入'!$B$5:$B$39,C$144)&gt;0,Lists!$C$25&gt;=SUMIFS('員工更表輸入'!$E$5:$E$39,'員工更表輸入'!$A$5:$A$39,'設定 Settings'!$A$8,'員工更表輸入'!$B$5:$B$39,C$144),Lists!$C$25&lt;SUMIFS('員工更表輸入'!$F$5:$F$39,'員工更表輸入'!$A$5:$A$39,'設定 Settings'!$A$8,'員工更表輸入'!$B$5:$B$39,C$144)),"Break","Work"))</f>
        <v/>
      </c>
      <c r="D168" s="24">
        <f>IF(OR(SUMIFS('員工更表輸入'!$D$5:$D$39,'員工更表輸入'!$A$5:$A$39,'設定 Settings'!$A$8,'員工更表輸入'!$B$5:$B$39,D$144)&lt;=0,Lists!$C$25&lt;SUMIFS('員工更表輸入'!$C$5:$C$39,'員工更表輸入'!$A$5:$A$39,'設定 Settings'!$A$8,'員工更表輸入'!$B$5:$B$39,D$144),Lists!$C$25&gt;=SUMIFS('員工更表輸入'!$D$5:$D$39,'員工更表輸入'!$A$5:$A$39,'設定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Settings'!$A$8,'員工更表輸入'!$B$5:$B$39,D$144)&gt;0,Lists!$C$25&gt;=SUMIFS('員工更表輸入'!$E$5:$E$39,'員工更表輸入'!$A$5:$A$39,'設定 Settings'!$A$8,'員工更表輸入'!$B$5:$B$39,D$144),Lists!$C$25&lt;SUMIFS('員工更表輸入'!$F$5:$F$39,'員工更表輸入'!$A$5:$A$39,'設定 Settings'!$A$8,'員工更表輸入'!$B$5:$B$39,D$144)),"Break","Work"))</f>
        <v/>
      </c>
      <c r="E168" s="24">
        <f>IF(OR(SUMIFS('員工更表輸入'!$D$5:$D$39,'員工更表輸入'!$A$5:$A$39,'設定 Settings'!$A$8,'員工更表輸入'!$B$5:$B$39,E$144)&lt;=0,Lists!$C$25&lt;SUMIFS('員工更表輸入'!$C$5:$C$39,'員工更表輸入'!$A$5:$A$39,'設定 Settings'!$A$8,'員工更表輸入'!$B$5:$B$39,E$144),Lists!$C$25&gt;=SUMIFS('員工更表輸入'!$D$5:$D$39,'員工更表輸入'!$A$5:$A$39,'設定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Settings'!$A$8,'員工更表輸入'!$B$5:$B$39,E$144)&gt;0,Lists!$C$25&gt;=SUMIFS('員工更表輸入'!$E$5:$E$39,'員工更表輸入'!$A$5:$A$39,'設定 Settings'!$A$8,'員工更表輸入'!$B$5:$B$39,E$144),Lists!$C$25&lt;SUMIFS('員工更表輸入'!$F$5:$F$39,'員工更表輸入'!$A$5:$A$39,'設定 Settings'!$A$8,'員工更表輸入'!$B$5:$B$39,E$144)),"Break","Work"))</f>
        <v/>
      </c>
      <c r="F168" s="24">
        <f>IF(OR(SUMIFS('員工更表輸入'!$D$5:$D$39,'員工更表輸入'!$A$5:$A$39,'設定 Settings'!$A$8,'員工更表輸入'!$B$5:$B$39,F$144)&lt;=0,Lists!$C$25&lt;SUMIFS('員工更表輸入'!$C$5:$C$39,'員工更表輸入'!$A$5:$A$39,'設定 Settings'!$A$8,'員工更表輸入'!$B$5:$B$39,F$144),Lists!$C$25&gt;=SUMIFS('員工更表輸入'!$D$5:$D$39,'員工更表輸入'!$A$5:$A$39,'設定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Settings'!$A$8,'員工更表輸入'!$B$5:$B$39,F$144)&gt;0,Lists!$C$25&gt;=SUMIFS('員工更表輸入'!$E$5:$E$39,'員工更表輸入'!$A$5:$A$39,'設定 Settings'!$A$8,'員工更表輸入'!$B$5:$B$39,F$144),Lists!$C$25&lt;SUMIFS('員工更表輸入'!$F$5:$F$39,'員工更表輸入'!$A$5:$A$39,'設定 Settings'!$A$8,'員工更表輸入'!$B$5:$B$39,F$144)),"Break","Work"))</f>
        <v/>
      </c>
      <c r="G168" s="24">
        <f>IF(OR(SUMIFS('員工更表輸入'!$D$5:$D$39,'員工更表輸入'!$A$5:$A$39,'設定 Settings'!$A$8,'員工更表輸入'!$B$5:$B$39,G$144)&lt;=0,Lists!$C$25&lt;SUMIFS('員工更表輸入'!$C$5:$C$39,'員工更表輸入'!$A$5:$A$39,'設定 Settings'!$A$8,'員工更表輸入'!$B$5:$B$39,G$144),Lists!$C$25&gt;=SUMIFS('員工更表輸入'!$D$5:$D$39,'員工更表輸入'!$A$5:$A$39,'設定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Settings'!$A$8,'員工更表輸入'!$B$5:$B$39,G$144)&gt;0,Lists!$C$25&gt;=SUMIFS('員工更表輸入'!$E$5:$E$39,'員工更表輸入'!$A$5:$A$39,'設定 Settings'!$A$8,'員工更表輸入'!$B$5:$B$39,G$144),Lists!$C$25&lt;SUMIFS('員工更表輸入'!$F$5:$F$39,'員工更表輸入'!$A$5:$A$39,'設定 Settings'!$A$8,'員工更表輸入'!$B$5:$B$39,G$144)),"Break","Work"))</f>
        <v/>
      </c>
      <c r="H168" s="24">
        <f>IF(OR(SUMIFS('員工更表輸入'!$D$5:$D$39,'員工更表輸入'!$A$5:$A$39,'設定 Settings'!$A$8,'員工更表輸入'!$B$5:$B$39,H$144)&lt;=0,Lists!$C$25&lt;SUMIFS('員工更表輸入'!$C$5:$C$39,'員工更表輸入'!$A$5:$A$39,'設定 Settings'!$A$8,'員工更表輸入'!$B$5:$B$39,H$144),Lists!$C$25&gt;=SUMIFS('員工更表輸入'!$D$5:$D$39,'員工更表輸入'!$A$5:$A$39,'設定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Settings'!$A$8,'員工更表輸入'!$B$5:$B$39,H$144)&gt;0,Lists!$C$25&gt;=SUMIFS('員工更表輸入'!$E$5:$E$39,'員工更表輸入'!$A$5:$A$39,'設定 Settings'!$A$8,'員工更表輸入'!$B$5:$B$39,H$144),Lists!$C$25&lt;SUMIFS('員工更表輸入'!$F$5:$F$39,'員工更表輸入'!$A$5:$A$39,'設定 Settings'!$A$8,'員工更表輸入'!$B$5:$B$39,H$144)),"Break","Work"))</f>
        <v/>
      </c>
    </row>
    <row r="169">
      <c r="A169" s="22" t="inlineStr">
        <is>
          <t>9:45pm-10:15pm</t>
        </is>
      </c>
      <c r="B169" s="24">
        <f>IF(OR(SUMIFS('員工更表輸入'!$D$5:$D$39,'員工更表輸入'!$A$5:$A$39,'設定 Settings'!$A$8,'員工更表輸入'!$B$5:$B$39,B$144)&lt;=0,Lists!$C$26&lt;SUMIFS('員工更表輸入'!$C$5:$C$39,'員工更表輸入'!$A$5:$A$39,'設定 Settings'!$A$8,'員工更表輸入'!$B$5:$B$39,B$144),Lists!$C$26&gt;=SUMIFS('員工更表輸入'!$D$5:$D$39,'員工更表輸入'!$A$5:$A$39,'設定 Settings'!$A$8,'員工更表輸入'!$B$5:$B$39,B$144)),"",IF(AND(SUMIFS('員工更表輸入'!$F$5:$F$39,'員工更表輸入'!$A$5:$A$39,'設定 Settings'!$A$8,'員工更表輸入'!$B$5:$B$39,B$144)&gt;0,Lists!$C$26&gt;=SUMIFS('員工更表輸入'!$E$5:$E$39,'員工更表輸入'!$A$5:$A$39,'設定 Settings'!$A$8,'員工更表輸入'!$B$5:$B$39,B$144),Lists!$C$26&lt;SUMIFS('員工更表輸入'!$F$5:$F$39,'員工更表輸入'!$A$5:$A$39,'設定 Settings'!$A$8,'員工更表輸入'!$B$5:$B$39,B$144)),"Break","Work"))</f>
        <v/>
      </c>
      <c r="C169" s="24">
        <f>IF(OR(SUMIFS('員工更表輸入'!$D$5:$D$39,'員工更表輸入'!$A$5:$A$39,'設定 Settings'!$A$8,'員工更表輸入'!$B$5:$B$39,C$144)&lt;=0,Lists!$C$26&lt;SUMIFS('員工更表輸入'!$C$5:$C$39,'員工更表輸入'!$A$5:$A$39,'設定 Settings'!$A$8,'員工更表輸入'!$B$5:$B$39,C$144),Lists!$C$26&gt;=SUMIFS('員工更表輸入'!$D$5:$D$39,'員工更表輸入'!$A$5:$A$39,'設定 Settings'!$A$8,'員工更表輸入'!$B$5:$B$39,C$144)),"",IF(AND(SUMIFS('員工更表輸入'!$F$5:$F$39,'員工更表輸入'!$A$5:$A$39,'設定 Settings'!$A$8,'員工更表輸入'!$B$5:$B$39,C$144)&gt;0,Lists!$C$26&gt;=SUMIFS('員工更表輸入'!$E$5:$E$39,'員工更表輸入'!$A$5:$A$39,'設定 Settings'!$A$8,'員工更表輸入'!$B$5:$B$39,C$144),Lists!$C$26&lt;SUMIFS('員工更表輸入'!$F$5:$F$39,'員工更表輸入'!$A$5:$A$39,'設定 Settings'!$A$8,'員工更表輸入'!$B$5:$B$39,C$144)),"Break","Work"))</f>
        <v/>
      </c>
      <c r="D169" s="24">
        <f>IF(OR(SUMIFS('員工更表輸入'!$D$5:$D$39,'員工更表輸入'!$A$5:$A$39,'設定 Settings'!$A$8,'員工更表輸入'!$B$5:$B$39,D$144)&lt;=0,Lists!$C$26&lt;SUMIFS('員工更表輸入'!$C$5:$C$39,'員工更表輸入'!$A$5:$A$39,'設定 Settings'!$A$8,'員工更表輸入'!$B$5:$B$39,D$144),Lists!$C$26&gt;=SUMIFS('員工更表輸入'!$D$5:$D$39,'員工更表輸入'!$A$5:$A$39,'設定 Settings'!$A$8,'員工更表輸入'!$B$5:$B$39,D$144)),"",IF(AND(SUMIFS('員工更表輸入'!$F$5:$F$39,'員工更表輸入'!$A$5:$A$39,'設定 Settings'!$A$8,'員工更表輸入'!$B$5:$B$39,D$144)&gt;0,Lists!$C$26&gt;=SUMIFS('員工更表輸入'!$E$5:$E$39,'員工更表輸入'!$A$5:$A$39,'設定 Settings'!$A$8,'員工更表輸入'!$B$5:$B$39,D$144),Lists!$C$26&lt;SUMIFS('員工更表輸入'!$F$5:$F$39,'員工更表輸入'!$A$5:$A$39,'設定 Settings'!$A$8,'員工更表輸入'!$B$5:$B$39,D$144)),"Break","Work"))</f>
        <v/>
      </c>
      <c r="E169" s="24">
        <f>IF(OR(SUMIFS('員工更表輸入'!$D$5:$D$39,'員工更表輸入'!$A$5:$A$39,'設定 Settings'!$A$8,'員工更表輸入'!$B$5:$B$39,E$144)&lt;=0,Lists!$C$26&lt;SUMIFS('員工更表輸入'!$C$5:$C$39,'員工更表輸入'!$A$5:$A$39,'設定 Settings'!$A$8,'員工更表輸入'!$B$5:$B$39,E$144),Lists!$C$26&gt;=SUMIFS('員工更表輸入'!$D$5:$D$39,'員工更表輸入'!$A$5:$A$39,'設定 Settings'!$A$8,'員工更表輸入'!$B$5:$B$39,E$144)),"",IF(AND(SUMIFS('員工更表輸入'!$F$5:$F$39,'員工更表輸入'!$A$5:$A$39,'設定 Settings'!$A$8,'員工更表輸入'!$B$5:$B$39,E$144)&gt;0,Lists!$C$26&gt;=SUMIFS('員工更表輸入'!$E$5:$E$39,'員工更表輸入'!$A$5:$A$39,'設定 Settings'!$A$8,'員工更表輸入'!$B$5:$B$39,E$144),Lists!$C$26&lt;SUMIFS('員工更表輸入'!$F$5:$F$39,'員工更表輸入'!$A$5:$A$39,'設定 Settings'!$A$8,'員工更表輸入'!$B$5:$B$39,E$144)),"Break","Work"))</f>
        <v/>
      </c>
      <c r="F169" s="24">
        <f>IF(OR(SUMIFS('員工更表輸入'!$D$5:$D$39,'員工更表輸入'!$A$5:$A$39,'設定 Settings'!$A$8,'員工更表輸入'!$B$5:$B$39,F$144)&lt;=0,Lists!$C$26&lt;SUMIFS('員工更表輸入'!$C$5:$C$39,'員工更表輸入'!$A$5:$A$39,'設定 Settings'!$A$8,'員工更表輸入'!$B$5:$B$39,F$144),Lists!$C$26&gt;=SUMIFS('員工更表輸入'!$D$5:$D$39,'員工更表輸入'!$A$5:$A$39,'設定 Settings'!$A$8,'員工更表輸入'!$B$5:$B$39,F$144)),"",IF(AND(SUMIFS('員工更表輸入'!$F$5:$F$39,'員工更表輸入'!$A$5:$A$39,'設定 Settings'!$A$8,'員工更表輸入'!$B$5:$B$39,F$144)&gt;0,Lists!$C$26&gt;=SUMIFS('員工更表輸入'!$E$5:$E$39,'員工更表輸入'!$A$5:$A$39,'設定 Settings'!$A$8,'員工更表輸入'!$B$5:$B$39,F$144),Lists!$C$26&lt;SUMIFS('員工更表輸入'!$F$5:$F$39,'員工更表輸入'!$A$5:$A$39,'設定 Settings'!$A$8,'員工更表輸入'!$B$5:$B$39,F$144)),"Break","Work"))</f>
        <v/>
      </c>
      <c r="G169" s="24">
        <f>IF(OR(SUMIFS('員工更表輸入'!$D$5:$D$39,'員工更表輸入'!$A$5:$A$39,'設定 Settings'!$A$8,'員工更表輸入'!$B$5:$B$39,G$144)&lt;=0,Lists!$C$26&lt;SUMIFS('員工更表輸入'!$C$5:$C$39,'員工更表輸入'!$A$5:$A$39,'設定 Settings'!$A$8,'員工更表輸入'!$B$5:$B$39,G$144),Lists!$C$26&gt;=SUMIFS('員工更表輸入'!$D$5:$D$39,'員工更表輸入'!$A$5:$A$39,'設定 Settings'!$A$8,'員工更表輸入'!$B$5:$B$39,G$144)),"",IF(AND(SUMIFS('員工更表輸入'!$F$5:$F$39,'員工更表輸入'!$A$5:$A$39,'設定 Settings'!$A$8,'員工更表輸入'!$B$5:$B$39,G$144)&gt;0,Lists!$C$26&gt;=SUMIFS('員工更表輸入'!$E$5:$E$39,'員工更表輸入'!$A$5:$A$39,'設定 Settings'!$A$8,'員工更表輸入'!$B$5:$B$39,G$144),Lists!$C$26&lt;SUMIFS('員工更表輸入'!$F$5:$F$39,'員工更表輸入'!$A$5:$A$39,'設定 Settings'!$A$8,'員工更表輸入'!$B$5:$B$39,G$144)),"Break","Work"))</f>
        <v/>
      </c>
      <c r="H169" s="24">
        <f>IF(OR(SUMIFS('員工更表輸入'!$D$5:$D$39,'員工更表輸入'!$A$5:$A$39,'設定 Settings'!$A$8,'員工更表輸入'!$B$5:$B$39,H$144)&lt;=0,Lists!$C$26&lt;SUMIFS('員工更表輸入'!$C$5:$C$39,'員工更表輸入'!$A$5:$A$39,'設定 Settings'!$A$8,'員工更表輸入'!$B$5:$B$39,H$144),Lists!$C$26&gt;=SUMIFS('員工更表輸入'!$D$5:$D$39,'員工更表輸入'!$A$5:$A$39,'設定 Settings'!$A$8,'員工更表輸入'!$B$5:$B$39,H$144)),"",IF(AND(SUMIFS('員工更表輸入'!$F$5:$F$39,'員工更表輸入'!$A$5:$A$39,'設定 Settings'!$A$8,'員工更表輸入'!$B$5:$B$39,H$144)&gt;0,Lists!$C$26&gt;=SUMIFS('員工更表輸入'!$E$5:$E$39,'員工更表輸入'!$A$5:$A$39,'設定 Settings'!$A$8,'員工更表輸入'!$B$5:$B$39,H$144),Lists!$C$26&lt;SUMIFS('員工更表輸入'!$F$5:$F$39,'員工更表輸入'!$A$5:$A$39,'設定 Settings'!$A$8,'員工更表輸入'!$B$5:$B$39,H$144)),"Break","Work"))</f>
        <v/>
      </c>
    </row>
    <row r="171">
      <c r="A171" s="29">
        <f>"員工更表："&amp;'設定 Settings'!$A$9</f>
        <v/>
      </c>
    </row>
    <row r="172">
      <c r="A172" s="17" t="inlineStr">
        <is>
          <t>時段＼員工</t>
        </is>
      </c>
      <c r="B172" s="17" t="inlineStr">
        <is>
          <t>星期一</t>
        </is>
      </c>
      <c r="C172" s="17" t="inlineStr">
        <is>
          <t>星期二</t>
        </is>
      </c>
      <c r="D172" s="17" t="inlineStr">
        <is>
          <t>星期三</t>
        </is>
      </c>
      <c r="E172" s="17" t="inlineStr">
        <is>
          <t>星期四</t>
        </is>
      </c>
      <c r="F172" s="17" t="inlineStr">
        <is>
          <t>星期五</t>
        </is>
      </c>
      <c r="G172" s="21" t="inlineStr">
        <is>
          <t>星期六</t>
        </is>
      </c>
      <c r="H172" s="21" t="inlineStr">
        <is>
          <t>星期日</t>
        </is>
      </c>
    </row>
    <row r="173">
      <c r="A173" s="22" t="inlineStr">
        <is>
          <t>9:45am-10:15am</t>
        </is>
      </c>
      <c r="B173" s="24">
        <f>IF(OR(SUMIFS('員工更表輸入'!$D$5:$D$39,'員工更表輸入'!$A$5:$A$39,'設定 Settings'!$A$9,'員工更表輸入'!$B$5:$B$39,B$172)&lt;=0,Lists!$C$2&lt;SUMIFS('員工更表輸入'!$C$5:$C$39,'員工更表輸入'!$A$5:$A$39,'設定 Settings'!$A$9,'員工更表輸入'!$B$5:$B$39,B$172),Lists!$C$2&gt;=SUMIFS('員工更表輸入'!$D$5:$D$39,'員工更表輸入'!$A$5:$A$39,'設定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Settings'!$A$9,'員工更表輸入'!$B$5:$B$39,B$172)&gt;0,Lists!$C$2&gt;=SUMIFS('員工更表輸入'!$E$5:$E$39,'員工更表輸入'!$A$5:$A$39,'設定 Settings'!$A$9,'員工更表輸入'!$B$5:$B$39,B$172),Lists!$C$2&lt;SUMIFS('員工更表輸入'!$F$5:$F$39,'員工更表輸入'!$A$5:$A$39,'設定 Settings'!$A$9,'員工更表輸入'!$B$5:$B$39,B$172)),"Break","Work"))</f>
        <v/>
      </c>
      <c r="C173" s="24">
        <f>IF(OR(SUMIFS('員工更表輸入'!$D$5:$D$39,'員工更表輸入'!$A$5:$A$39,'設定 Settings'!$A$9,'員工更表輸入'!$B$5:$B$39,C$172)&lt;=0,Lists!$C$2&lt;SUMIFS('員工更表輸入'!$C$5:$C$39,'員工更表輸入'!$A$5:$A$39,'設定 Settings'!$A$9,'員工更表輸入'!$B$5:$B$39,C$172),Lists!$C$2&gt;=SUMIFS('員工更表輸入'!$D$5:$D$39,'員工更表輸入'!$A$5:$A$39,'設定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Settings'!$A$9,'員工更表輸入'!$B$5:$B$39,C$172)&gt;0,Lists!$C$2&gt;=SUMIFS('員工更表輸入'!$E$5:$E$39,'員工更表輸入'!$A$5:$A$39,'設定 Settings'!$A$9,'員工更表輸入'!$B$5:$B$39,C$172),Lists!$C$2&lt;SUMIFS('員工更表輸入'!$F$5:$F$39,'員工更表輸入'!$A$5:$A$39,'設定 Settings'!$A$9,'員工更表輸入'!$B$5:$B$39,C$172)),"Break","Work"))</f>
        <v/>
      </c>
      <c r="D173" s="24">
        <f>IF(OR(SUMIFS('員工更表輸入'!$D$5:$D$39,'員工更表輸入'!$A$5:$A$39,'設定 Settings'!$A$9,'員工更表輸入'!$B$5:$B$39,D$172)&lt;=0,Lists!$C$2&lt;SUMIFS('員工更表輸入'!$C$5:$C$39,'員工更表輸入'!$A$5:$A$39,'設定 Settings'!$A$9,'員工更表輸入'!$B$5:$B$39,D$172),Lists!$C$2&gt;=SUMIFS('員工更表輸入'!$D$5:$D$39,'員工更表輸入'!$A$5:$A$39,'設定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Settings'!$A$9,'員工更表輸入'!$B$5:$B$39,D$172)&gt;0,Lists!$C$2&gt;=SUMIFS('員工更表輸入'!$E$5:$E$39,'員工更表輸入'!$A$5:$A$39,'設定 Settings'!$A$9,'員工更表輸入'!$B$5:$B$39,D$172),Lists!$C$2&lt;SUMIFS('員工更表輸入'!$F$5:$F$39,'員工更表輸入'!$A$5:$A$39,'設定 Settings'!$A$9,'員工更表輸入'!$B$5:$B$39,D$172)),"Break","Work"))</f>
        <v/>
      </c>
      <c r="E173" s="24">
        <f>IF(OR(SUMIFS('員工更表輸入'!$D$5:$D$39,'員工更表輸入'!$A$5:$A$39,'設定 Settings'!$A$9,'員工更表輸入'!$B$5:$B$39,E$172)&lt;=0,Lists!$C$2&lt;SUMIFS('員工更表輸入'!$C$5:$C$39,'員工更表輸入'!$A$5:$A$39,'設定 Settings'!$A$9,'員工更表輸入'!$B$5:$B$39,E$172),Lists!$C$2&gt;=SUMIFS('員工更表輸入'!$D$5:$D$39,'員工更表輸入'!$A$5:$A$39,'設定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Settings'!$A$9,'員工更表輸入'!$B$5:$B$39,E$172)&gt;0,Lists!$C$2&gt;=SUMIFS('員工更表輸入'!$E$5:$E$39,'員工更表輸入'!$A$5:$A$39,'設定 Settings'!$A$9,'員工更表輸入'!$B$5:$B$39,E$172),Lists!$C$2&lt;SUMIFS('員工更表輸入'!$F$5:$F$39,'員工更表輸入'!$A$5:$A$39,'設定 Settings'!$A$9,'員工更表輸入'!$B$5:$B$39,E$172)),"Break","Work"))</f>
        <v/>
      </c>
      <c r="F173" s="24">
        <f>IF(OR(SUMIFS('員工更表輸入'!$D$5:$D$39,'員工更表輸入'!$A$5:$A$39,'設定 Settings'!$A$9,'員工更表輸入'!$B$5:$B$39,F$172)&lt;=0,Lists!$C$2&lt;SUMIFS('員工更表輸入'!$C$5:$C$39,'員工更表輸入'!$A$5:$A$39,'設定 Settings'!$A$9,'員工更表輸入'!$B$5:$B$39,F$172),Lists!$C$2&gt;=SUMIFS('員工更表輸入'!$D$5:$D$39,'員工更表輸入'!$A$5:$A$39,'設定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Settings'!$A$9,'員工更表輸入'!$B$5:$B$39,F$172)&gt;0,Lists!$C$2&gt;=SUMIFS('員工更表輸入'!$E$5:$E$39,'員工更表輸入'!$A$5:$A$39,'設定 Settings'!$A$9,'員工更表輸入'!$B$5:$B$39,F$172),Lists!$C$2&lt;SUMIFS('員工更表輸入'!$F$5:$F$39,'員工更表輸入'!$A$5:$A$39,'設定 Settings'!$A$9,'員工更表輸入'!$B$5:$B$39,F$172)),"Break","Work"))</f>
        <v/>
      </c>
      <c r="G173" s="24">
        <f>IF(OR(SUMIFS('員工更表輸入'!$D$5:$D$39,'員工更表輸入'!$A$5:$A$39,'設定 Settings'!$A$9,'員工更表輸入'!$B$5:$B$39,G$172)&lt;=0,Lists!$C$2&lt;SUMIFS('員工更表輸入'!$C$5:$C$39,'員工更表輸入'!$A$5:$A$39,'設定 Settings'!$A$9,'員工更表輸入'!$B$5:$B$39,G$172),Lists!$C$2&gt;=SUMIFS('員工更表輸入'!$D$5:$D$39,'員工更表輸入'!$A$5:$A$39,'設定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Settings'!$A$9,'員工更表輸入'!$B$5:$B$39,G$172)&gt;0,Lists!$C$2&gt;=SUMIFS('員工更表輸入'!$E$5:$E$39,'員工更表輸入'!$A$5:$A$39,'設定 Settings'!$A$9,'員工更表輸入'!$B$5:$B$39,G$172),Lists!$C$2&lt;SUMIFS('員工更表輸入'!$F$5:$F$39,'員工更表輸入'!$A$5:$A$39,'設定 Settings'!$A$9,'員工更表輸入'!$B$5:$B$39,G$172)),"Break","Work"))</f>
        <v/>
      </c>
      <c r="H173" s="24">
        <f>IF(OR(SUMIFS('員工更表輸入'!$D$5:$D$39,'員工更表輸入'!$A$5:$A$39,'設定 Settings'!$A$9,'員工更表輸入'!$B$5:$B$39,H$172)&lt;=0,Lists!$C$2&lt;SUMIFS('員工更表輸入'!$C$5:$C$39,'員工更表輸入'!$A$5:$A$39,'設定 Settings'!$A$9,'員工更表輸入'!$B$5:$B$39,H$172),Lists!$C$2&gt;=SUMIFS('員工更表輸入'!$D$5:$D$39,'員工更表輸入'!$A$5:$A$39,'設定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Settings'!$A$9,'員工更表輸入'!$B$5:$B$39,H$172)&gt;0,Lists!$C$2&gt;=SUMIFS('員工更表輸入'!$E$5:$E$39,'員工更表輸入'!$A$5:$A$39,'設定 Settings'!$A$9,'員工更表輸入'!$B$5:$B$39,H$172),Lists!$C$2&lt;SUMIFS('員工更表輸入'!$F$5:$F$39,'員工更表輸入'!$A$5:$A$39,'設定 Settings'!$A$9,'員工更表輸入'!$B$5:$B$39,H$172)),"Break","Work"))</f>
        <v/>
      </c>
    </row>
    <row r="174">
      <c r="A174" s="22" t="inlineStr">
        <is>
          <t>10:15am-10:45am</t>
        </is>
      </c>
      <c r="B174" s="24">
        <f>IF(OR(SUMIFS('員工更表輸入'!$D$5:$D$39,'員工更表輸入'!$A$5:$A$39,'設定 Settings'!$A$9,'員工更表輸入'!$B$5:$B$39,B$172)&lt;=0,Lists!$C$3&lt;SUMIFS('員工更表輸入'!$C$5:$C$39,'員工更表輸入'!$A$5:$A$39,'設定 Settings'!$A$9,'員工更表輸入'!$B$5:$B$39,B$172),Lists!$C$3&gt;=SUMIFS('員工更表輸入'!$D$5:$D$39,'員工更表輸入'!$A$5:$A$39,'設定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Settings'!$A$9,'員工更表輸入'!$B$5:$B$39,B$172)&gt;0,Lists!$C$3&gt;=SUMIFS('員工更表輸入'!$E$5:$E$39,'員工更表輸入'!$A$5:$A$39,'設定 Settings'!$A$9,'員工更表輸入'!$B$5:$B$39,B$172),Lists!$C$3&lt;SUMIFS('員工更表輸入'!$F$5:$F$39,'員工更表輸入'!$A$5:$A$39,'設定 Settings'!$A$9,'員工更表輸入'!$B$5:$B$39,B$172)),"Break","Work"))</f>
        <v/>
      </c>
      <c r="C174" s="24">
        <f>IF(OR(SUMIFS('員工更表輸入'!$D$5:$D$39,'員工更表輸入'!$A$5:$A$39,'設定 Settings'!$A$9,'員工更表輸入'!$B$5:$B$39,C$172)&lt;=0,Lists!$C$3&lt;SUMIFS('員工更表輸入'!$C$5:$C$39,'員工更表輸入'!$A$5:$A$39,'設定 Settings'!$A$9,'員工更表輸入'!$B$5:$B$39,C$172),Lists!$C$3&gt;=SUMIFS('員工更表輸入'!$D$5:$D$39,'員工更表輸入'!$A$5:$A$39,'設定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Settings'!$A$9,'員工更表輸入'!$B$5:$B$39,C$172)&gt;0,Lists!$C$3&gt;=SUMIFS('員工更表輸入'!$E$5:$E$39,'員工更表輸入'!$A$5:$A$39,'設定 Settings'!$A$9,'員工更表輸入'!$B$5:$B$39,C$172),Lists!$C$3&lt;SUMIFS('員工更表輸入'!$F$5:$F$39,'員工更表輸入'!$A$5:$A$39,'設定 Settings'!$A$9,'員工更表輸入'!$B$5:$B$39,C$172)),"Break","Work"))</f>
        <v/>
      </c>
      <c r="D174" s="24">
        <f>IF(OR(SUMIFS('員工更表輸入'!$D$5:$D$39,'員工更表輸入'!$A$5:$A$39,'設定 Settings'!$A$9,'員工更表輸入'!$B$5:$B$39,D$172)&lt;=0,Lists!$C$3&lt;SUMIFS('員工更表輸入'!$C$5:$C$39,'員工更表輸入'!$A$5:$A$39,'設定 Settings'!$A$9,'員工更表輸入'!$B$5:$B$39,D$172),Lists!$C$3&gt;=SUMIFS('員工更表輸入'!$D$5:$D$39,'員工更表輸入'!$A$5:$A$39,'設定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Settings'!$A$9,'員工更表輸入'!$B$5:$B$39,D$172)&gt;0,Lists!$C$3&gt;=SUMIFS('員工更表輸入'!$E$5:$E$39,'員工更表輸入'!$A$5:$A$39,'設定 Settings'!$A$9,'員工更表輸入'!$B$5:$B$39,D$172),Lists!$C$3&lt;SUMIFS('員工更表輸入'!$F$5:$F$39,'員工更表輸入'!$A$5:$A$39,'設定 Settings'!$A$9,'員工更表輸入'!$B$5:$B$39,D$172)),"Break","Work"))</f>
        <v/>
      </c>
      <c r="E174" s="24">
        <f>IF(OR(SUMIFS('員工更表輸入'!$D$5:$D$39,'員工更表輸入'!$A$5:$A$39,'設定 Settings'!$A$9,'員工更表輸入'!$B$5:$B$39,E$172)&lt;=0,Lists!$C$3&lt;SUMIFS('員工更表輸入'!$C$5:$C$39,'員工更表輸入'!$A$5:$A$39,'設定 Settings'!$A$9,'員工更表輸入'!$B$5:$B$39,E$172),Lists!$C$3&gt;=SUMIFS('員工更表輸入'!$D$5:$D$39,'員工更表輸入'!$A$5:$A$39,'設定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Settings'!$A$9,'員工更表輸入'!$B$5:$B$39,E$172)&gt;0,Lists!$C$3&gt;=SUMIFS('員工更表輸入'!$E$5:$E$39,'員工更表輸入'!$A$5:$A$39,'設定 Settings'!$A$9,'員工更表輸入'!$B$5:$B$39,E$172),Lists!$C$3&lt;SUMIFS('員工更表輸入'!$F$5:$F$39,'員工更表輸入'!$A$5:$A$39,'設定 Settings'!$A$9,'員工更表輸入'!$B$5:$B$39,E$172)),"Break","Work"))</f>
        <v/>
      </c>
      <c r="F174" s="24">
        <f>IF(OR(SUMIFS('員工更表輸入'!$D$5:$D$39,'員工更表輸入'!$A$5:$A$39,'設定 Settings'!$A$9,'員工更表輸入'!$B$5:$B$39,F$172)&lt;=0,Lists!$C$3&lt;SUMIFS('員工更表輸入'!$C$5:$C$39,'員工更表輸入'!$A$5:$A$39,'設定 Settings'!$A$9,'員工更表輸入'!$B$5:$B$39,F$172),Lists!$C$3&gt;=SUMIFS('員工更表輸入'!$D$5:$D$39,'員工更表輸入'!$A$5:$A$39,'設定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Settings'!$A$9,'員工更表輸入'!$B$5:$B$39,F$172)&gt;0,Lists!$C$3&gt;=SUMIFS('員工更表輸入'!$E$5:$E$39,'員工更表輸入'!$A$5:$A$39,'設定 Settings'!$A$9,'員工更表輸入'!$B$5:$B$39,F$172),Lists!$C$3&lt;SUMIFS('員工更表輸入'!$F$5:$F$39,'員工更表輸入'!$A$5:$A$39,'設定 Settings'!$A$9,'員工更表輸入'!$B$5:$B$39,F$172)),"Break","Work"))</f>
        <v/>
      </c>
      <c r="G174" s="24">
        <f>IF(OR(SUMIFS('員工更表輸入'!$D$5:$D$39,'員工更表輸入'!$A$5:$A$39,'設定 Settings'!$A$9,'員工更表輸入'!$B$5:$B$39,G$172)&lt;=0,Lists!$C$3&lt;SUMIFS('員工更表輸入'!$C$5:$C$39,'員工更表輸入'!$A$5:$A$39,'設定 Settings'!$A$9,'員工更表輸入'!$B$5:$B$39,G$172),Lists!$C$3&gt;=SUMIFS('員工更表輸入'!$D$5:$D$39,'員工更表輸入'!$A$5:$A$39,'設定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Settings'!$A$9,'員工更表輸入'!$B$5:$B$39,G$172)&gt;0,Lists!$C$3&gt;=SUMIFS('員工更表輸入'!$E$5:$E$39,'員工更表輸入'!$A$5:$A$39,'設定 Settings'!$A$9,'員工更表輸入'!$B$5:$B$39,G$172),Lists!$C$3&lt;SUMIFS('員工更表輸入'!$F$5:$F$39,'員工更表輸入'!$A$5:$A$39,'設定 Settings'!$A$9,'員工更表輸入'!$B$5:$B$39,G$172)),"Break","Work"))</f>
        <v/>
      </c>
      <c r="H174" s="24">
        <f>IF(OR(SUMIFS('員工更表輸入'!$D$5:$D$39,'員工更表輸入'!$A$5:$A$39,'設定 Settings'!$A$9,'員工更表輸入'!$B$5:$B$39,H$172)&lt;=0,Lists!$C$3&lt;SUMIFS('員工更表輸入'!$C$5:$C$39,'員工更表輸入'!$A$5:$A$39,'設定 Settings'!$A$9,'員工更表輸入'!$B$5:$B$39,H$172),Lists!$C$3&gt;=SUMIFS('員工更表輸入'!$D$5:$D$39,'員工更表輸入'!$A$5:$A$39,'設定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Settings'!$A$9,'員工更表輸入'!$B$5:$B$39,H$172)&gt;0,Lists!$C$3&gt;=SUMIFS('員工更表輸入'!$E$5:$E$39,'員工更表輸入'!$A$5:$A$39,'設定 Settings'!$A$9,'員工更表輸入'!$B$5:$B$39,H$172),Lists!$C$3&lt;SUMIFS('員工更表輸入'!$F$5:$F$39,'員工更表輸入'!$A$5:$A$39,'設定 Settings'!$A$9,'員工更表輸入'!$B$5:$B$39,H$172)),"Break","Work"))</f>
        <v/>
      </c>
    </row>
    <row r="175">
      <c r="A175" s="22" t="inlineStr">
        <is>
          <t>10:45am-11:15am</t>
        </is>
      </c>
      <c r="B175" s="24">
        <f>IF(OR(SUMIFS('員工更表輸入'!$D$5:$D$39,'員工更表輸入'!$A$5:$A$39,'設定 Settings'!$A$9,'員工更表輸入'!$B$5:$B$39,B$172)&lt;=0,Lists!$C$4&lt;SUMIFS('員工更表輸入'!$C$5:$C$39,'員工更表輸入'!$A$5:$A$39,'設定 Settings'!$A$9,'員工更表輸入'!$B$5:$B$39,B$172),Lists!$C$4&gt;=SUMIFS('員工更表輸入'!$D$5:$D$39,'員工更表輸入'!$A$5:$A$39,'設定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Settings'!$A$9,'員工更表輸入'!$B$5:$B$39,B$172)&gt;0,Lists!$C$4&gt;=SUMIFS('員工更表輸入'!$E$5:$E$39,'員工更表輸入'!$A$5:$A$39,'設定 Settings'!$A$9,'員工更表輸入'!$B$5:$B$39,B$172),Lists!$C$4&lt;SUMIFS('員工更表輸入'!$F$5:$F$39,'員工更表輸入'!$A$5:$A$39,'設定 Settings'!$A$9,'員工更表輸入'!$B$5:$B$39,B$172)),"Break","Work"))</f>
        <v/>
      </c>
      <c r="C175" s="24">
        <f>IF(OR(SUMIFS('員工更表輸入'!$D$5:$D$39,'員工更表輸入'!$A$5:$A$39,'設定 Settings'!$A$9,'員工更表輸入'!$B$5:$B$39,C$172)&lt;=0,Lists!$C$4&lt;SUMIFS('員工更表輸入'!$C$5:$C$39,'員工更表輸入'!$A$5:$A$39,'設定 Settings'!$A$9,'員工更表輸入'!$B$5:$B$39,C$172),Lists!$C$4&gt;=SUMIFS('員工更表輸入'!$D$5:$D$39,'員工更表輸入'!$A$5:$A$39,'設定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Settings'!$A$9,'員工更表輸入'!$B$5:$B$39,C$172)&gt;0,Lists!$C$4&gt;=SUMIFS('員工更表輸入'!$E$5:$E$39,'員工更表輸入'!$A$5:$A$39,'設定 Settings'!$A$9,'員工更表輸入'!$B$5:$B$39,C$172),Lists!$C$4&lt;SUMIFS('員工更表輸入'!$F$5:$F$39,'員工更表輸入'!$A$5:$A$39,'設定 Settings'!$A$9,'員工更表輸入'!$B$5:$B$39,C$172)),"Break","Work"))</f>
        <v/>
      </c>
      <c r="D175" s="24">
        <f>IF(OR(SUMIFS('員工更表輸入'!$D$5:$D$39,'員工更表輸入'!$A$5:$A$39,'設定 Settings'!$A$9,'員工更表輸入'!$B$5:$B$39,D$172)&lt;=0,Lists!$C$4&lt;SUMIFS('員工更表輸入'!$C$5:$C$39,'員工更表輸入'!$A$5:$A$39,'設定 Settings'!$A$9,'員工更表輸入'!$B$5:$B$39,D$172),Lists!$C$4&gt;=SUMIFS('員工更表輸入'!$D$5:$D$39,'員工更表輸入'!$A$5:$A$39,'設定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Settings'!$A$9,'員工更表輸入'!$B$5:$B$39,D$172)&gt;0,Lists!$C$4&gt;=SUMIFS('員工更表輸入'!$E$5:$E$39,'員工更表輸入'!$A$5:$A$39,'設定 Settings'!$A$9,'員工更表輸入'!$B$5:$B$39,D$172),Lists!$C$4&lt;SUMIFS('員工更表輸入'!$F$5:$F$39,'員工更表輸入'!$A$5:$A$39,'設定 Settings'!$A$9,'員工更表輸入'!$B$5:$B$39,D$172)),"Break","Work"))</f>
        <v/>
      </c>
      <c r="E175" s="24">
        <f>IF(OR(SUMIFS('員工更表輸入'!$D$5:$D$39,'員工更表輸入'!$A$5:$A$39,'設定 Settings'!$A$9,'員工更表輸入'!$B$5:$B$39,E$172)&lt;=0,Lists!$C$4&lt;SUMIFS('員工更表輸入'!$C$5:$C$39,'員工更表輸入'!$A$5:$A$39,'設定 Settings'!$A$9,'員工更表輸入'!$B$5:$B$39,E$172),Lists!$C$4&gt;=SUMIFS('員工更表輸入'!$D$5:$D$39,'員工更表輸入'!$A$5:$A$39,'設定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Settings'!$A$9,'員工更表輸入'!$B$5:$B$39,E$172)&gt;0,Lists!$C$4&gt;=SUMIFS('員工更表輸入'!$E$5:$E$39,'員工更表輸入'!$A$5:$A$39,'設定 Settings'!$A$9,'員工更表輸入'!$B$5:$B$39,E$172),Lists!$C$4&lt;SUMIFS('員工更表輸入'!$F$5:$F$39,'員工更表輸入'!$A$5:$A$39,'設定 Settings'!$A$9,'員工更表輸入'!$B$5:$B$39,E$172)),"Break","Work"))</f>
        <v/>
      </c>
      <c r="F175" s="24">
        <f>IF(OR(SUMIFS('員工更表輸入'!$D$5:$D$39,'員工更表輸入'!$A$5:$A$39,'設定 Settings'!$A$9,'員工更表輸入'!$B$5:$B$39,F$172)&lt;=0,Lists!$C$4&lt;SUMIFS('員工更表輸入'!$C$5:$C$39,'員工更表輸入'!$A$5:$A$39,'設定 Settings'!$A$9,'員工更表輸入'!$B$5:$B$39,F$172),Lists!$C$4&gt;=SUMIFS('員工更表輸入'!$D$5:$D$39,'員工更表輸入'!$A$5:$A$39,'設定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Settings'!$A$9,'員工更表輸入'!$B$5:$B$39,F$172)&gt;0,Lists!$C$4&gt;=SUMIFS('員工更表輸入'!$E$5:$E$39,'員工更表輸入'!$A$5:$A$39,'設定 Settings'!$A$9,'員工更表輸入'!$B$5:$B$39,F$172),Lists!$C$4&lt;SUMIFS('員工更表輸入'!$F$5:$F$39,'員工更表輸入'!$A$5:$A$39,'設定 Settings'!$A$9,'員工更表輸入'!$B$5:$B$39,F$172)),"Break","Work"))</f>
        <v/>
      </c>
      <c r="G175" s="24">
        <f>IF(OR(SUMIFS('員工更表輸入'!$D$5:$D$39,'員工更表輸入'!$A$5:$A$39,'設定 Settings'!$A$9,'員工更表輸入'!$B$5:$B$39,G$172)&lt;=0,Lists!$C$4&lt;SUMIFS('員工更表輸入'!$C$5:$C$39,'員工更表輸入'!$A$5:$A$39,'設定 Settings'!$A$9,'員工更表輸入'!$B$5:$B$39,G$172),Lists!$C$4&gt;=SUMIFS('員工更表輸入'!$D$5:$D$39,'員工更表輸入'!$A$5:$A$39,'設定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Settings'!$A$9,'員工更表輸入'!$B$5:$B$39,G$172)&gt;0,Lists!$C$4&gt;=SUMIFS('員工更表輸入'!$E$5:$E$39,'員工更表輸入'!$A$5:$A$39,'設定 Settings'!$A$9,'員工更表輸入'!$B$5:$B$39,G$172),Lists!$C$4&lt;SUMIFS('員工更表輸入'!$F$5:$F$39,'員工更表輸入'!$A$5:$A$39,'設定 Settings'!$A$9,'員工更表輸入'!$B$5:$B$39,G$172)),"Break","Work"))</f>
        <v/>
      </c>
      <c r="H175" s="24">
        <f>IF(OR(SUMIFS('員工更表輸入'!$D$5:$D$39,'員工更表輸入'!$A$5:$A$39,'設定 Settings'!$A$9,'員工更表輸入'!$B$5:$B$39,H$172)&lt;=0,Lists!$C$4&lt;SUMIFS('員工更表輸入'!$C$5:$C$39,'員工更表輸入'!$A$5:$A$39,'設定 Settings'!$A$9,'員工更表輸入'!$B$5:$B$39,H$172),Lists!$C$4&gt;=SUMIFS('員工更表輸入'!$D$5:$D$39,'員工更表輸入'!$A$5:$A$39,'設定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Settings'!$A$9,'員工更表輸入'!$B$5:$B$39,H$172)&gt;0,Lists!$C$4&gt;=SUMIFS('員工更表輸入'!$E$5:$E$39,'員工更表輸入'!$A$5:$A$39,'設定 Settings'!$A$9,'員工更表輸入'!$B$5:$B$39,H$172),Lists!$C$4&lt;SUMIFS('員工更表輸入'!$F$5:$F$39,'員工更表輸入'!$A$5:$A$39,'設定 Settings'!$A$9,'員工更表輸入'!$B$5:$B$39,H$172)),"Break","Work"))</f>
        <v/>
      </c>
    </row>
    <row r="176">
      <c r="A176" s="22" t="inlineStr">
        <is>
          <t>11:15am-11:45am</t>
        </is>
      </c>
      <c r="B176" s="24">
        <f>IF(OR(SUMIFS('員工更表輸入'!$D$5:$D$39,'員工更表輸入'!$A$5:$A$39,'設定 Settings'!$A$9,'員工更表輸入'!$B$5:$B$39,B$172)&lt;=0,Lists!$C$5&lt;SUMIFS('員工更表輸入'!$C$5:$C$39,'員工更表輸入'!$A$5:$A$39,'設定 Settings'!$A$9,'員工更表輸入'!$B$5:$B$39,B$172),Lists!$C$5&gt;=SUMIFS('員工更表輸入'!$D$5:$D$39,'員工更表輸入'!$A$5:$A$39,'設定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Settings'!$A$9,'員工更表輸入'!$B$5:$B$39,B$172)&gt;0,Lists!$C$5&gt;=SUMIFS('員工更表輸入'!$E$5:$E$39,'員工更表輸入'!$A$5:$A$39,'設定 Settings'!$A$9,'員工更表輸入'!$B$5:$B$39,B$172),Lists!$C$5&lt;SUMIFS('員工更表輸入'!$F$5:$F$39,'員工更表輸入'!$A$5:$A$39,'設定 Settings'!$A$9,'員工更表輸入'!$B$5:$B$39,B$172)),"Break","Work"))</f>
        <v/>
      </c>
      <c r="C176" s="24">
        <f>IF(OR(SUMIFS('員工更表輸入'!$D$5:$D$39,'員工更表輸入'!$A$5:$A$39,'設定 Settings'!$A$9,'員工更表輸入'!$B$5:$B$39,C$172)&lt;=0,Lists!$C$5&lt;SUMIFS('員工更表輸入'!$C$5:$C$39,'員工更表輸入'!$A$5:$A$39,'設定 Settings'!$A$9,'員工更表輸入'!$B$5:$B$39,C$172),Lists!$C$5&gt;=SUMIFS('員工更表輸入'!$D$5:$D$39,'員工更表輸入'!$A$5:$A$39,'設定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Settings'!$A$9,'員工更表輸入'!$B$5:$B$39,C$172)&gt;0,Lists!$C$5&gt;=SUMIFS('員工更表輸入'!$E$5:$E$39,'員工更表輸入'!$A$5:$A$39,'設定 Settings'!$A$9,'員工更表輸入'!$B$5:$B$39,C$172),Lists!$C$5&lt;SUMIFS('員工更表輸入'!$F$5:$F$39,'員工更表輸入'!$A$5:$A$39,'設定 Settings'!$A$9,'員工更表輸入'!$B$5:$B$39,C$172)),"Break","Work"))</f>
        <v/>
      </c>
      <c r="D176" s="24">
        <f>IF(OR(SUMIFS('員工更表輸入'!$D$5:$D$39,'員工更表輸入'!$A$5:$A$39,'設定 Settings'!$A$9,'員工更表輸入'!$B$5:$B$39,D$172)&lt;=0,Lists!$C$5&lt;SUMIFS('員工更表輸入'!$C$5:$C$39,'員工更表輸入'!$A$5:$A$39,'設定 Settings'!$A$9,'員工更表輸入'!$B$5:$B$39,D$172),Lists!$C$5&gt;=SUMIFS('員工更表輸入'!$D$5:$D$39,'員工更表輸入'!$A$5:$A$39,'設定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Settings'!$A$9,'員工更表輸入'!$B$5:$B$39,D$172)&gt;0,Lists!$C$5&gt;=SUMIFS('員工更表輸入'!$E$5:$E$39,'員工更表輸入'!$A$5:$A$39,'設定 Settings'!$A$9,'員工更表輸入'!$B$5:$B$39,D$172),Lists!$C$5&lt;SUMIFS('員工更表輸入'!$F$5:$F$39,'員工更表輸入'!$A$5:$A$39,'設定 Settings'!$A$9,'員工更表輸入'!$B$5:$B$39,D$172)),"Break","Work"))</f>
        <v/>
      </c>
      <c r="E176" s="24">
        <f>IF(OR(SUMIFS('員工更表輸入'!$D$5:$D$39,'員工更表輸入'!$A$5:$A$39,'設定 Settings'!$A$9,'員工更表輸入'!$B$5:$B$39,E$172)&lt;=0,Lists!$C$5&lt;SUMIFS('員工更表輸入'!$C$5:$C$39,'員工更表輸入'!$A$5:$A$39,'設定 Settings'!$A$9,'員工更表輸入'!$B$5:$B$39,E$172),Lists!$C$5&gt;=SUMIFS('員工更表輸入'!$D$5:$D$39,'員工更表輸入'!$A$5:$A$39,'設定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Settings'!$A$9,'員工更表輸入'!$B$5:$B$39,E$172)&gt;0,Lists!$C$5&gt;=SUMIFS('員工更表輸入'!$E$5:$E$39,'員工更表輸入'!$A$5:$A$39,'設定 Settings'!$A$9,'員工更表輸入'!$B$5:$B$39,E$172),Lists!$C$5&lt;SUMIFS('員工更表輸入'!$F$5:$F$39,'員工更表輸入'!$A$5:$A$39,'設定 Settings'!$A$9,'員工更表輸入'!$B$5:$B$39,E$172)),"Break","Work"))</f>
        <v/>
      </c>
      <c r="F176" s="24">
        <f>IF(OR(SUMIFS('員工更表輸入'!$D$5:$D$39,'員工更表輸入'!$A$5:$A$39,'設定 Settings'!$A$9,'員工更表輸入'!$B$5:$B$39,F$172)&lt;=0,Lists!$C$5&lt;SUMIFS('員工更表輸入'!$C$5:$C$39,'員工更表輸入'!$A$5:$A$39,'設定 Settings'!$A$9,'員工更表輸入'!$B$5:$B$39,F$172),Lists!$C$5&gt;=SUMIFS('員工更表輸入'!$D$5:$D$39,'員工更表輸入'!$A$5:$A$39,'設定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Settings'!$A$9,'員工更表輸入'!$B$5:$B$39,F$172)&gt;0,Lists!$C$5&gt;=SUMIFS('員工更表輸入'!$E$5:$E$39,'員工更表輸入'!$A$5:$A$39,'設定 Settings'!$A$9,'員工更表輸入'!$B$5:$B$39,F$172),Lists!$C$5&lt;SUMIFS('員工更表輸入'!$F$5:$F$39,'員工更表輸入'!$A$5:$A$39,'設定 Settings'!$A$9,'員工更表輸入'!$B$5:$B$39,F$172)),"Break","Work"))</f>
        <v/>
      </c>
      <c r="G176" s="24">
        <f>IF(OR(SUMIFS('員工更表輸入'!$D$5:$D$39,'員工更表輸入'!$A$5:$A$39,'設定 Settings'!$A$9,'員工更表輸入'!$B$5:$B$39,G$172)&lt;=0,Lists!$C$5&lt;SUMIFS('員工更表輸入'!$C$5:$C$39,'員工更表輸入'!$A$5:$A$39,'設定 Settings'!$A$9,'員工更表輸入'!$B$5:$B$39,G$172),Lists!$C$5&gt;=SUMIFS('員工更表輸入'!$D$5:$D$39,'員工更表輸入'!$A$5:$A$39,'設定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Settings'!$A$9,'員工更表輸入'!$B$5:$B$39,G$172)&gt;0,Lists!$C$5&gt;=SUMIFS('員工更表輸入'!$E$5:$E$39,'員工更表輸入'!$A$5:$A$39,'設定 Settings'!$A$9,'員工更表輸入'!$B$5:$B$39,G$172),Lists!$C$5&lt;SUMIFS('員工更表輸入'!$F$5:$F$39,'員工更表輸入'!$A$5:$A$39,'設定 Settings'!$A$9,'員工更表輸入'!$B$5:$B$39,G$172)),"Break","Work"))</f>
        <v/>
      </c>
      <c r="H176" s="24">
        <f>IF(OR(SUMIFS('員工更表輸入'!$D$5:$D$39,'員工更表輸入'!$A$5:$A$39,'設定 Settings'!$A$9,'員工更表輸入'!$B$5:$B$39,H$172)&lt;=0,Lists!$C$5&lt;SUMIFS('員工更表輸入'!$C$5:$C$39,'員工更表輸入'!$A$5:$A$39,'設定 Settings'!$A$9,'員工更表輸入'!$B$5:$B$39,H$172),Lists!$C$5&gt;=SUMIFS('員工更表輸入'!$D$5:$D$39,'員工更表輸入'!$A$5:$A$39,'設定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Settings'!$A$9,'員工更表輸入'!$B$5:$B$39,H$172)&gt;0,Lists!$C$5&gt;=SUMIFS('員工更表輸入'!$E$5:$E$39,'員工更表輸入'!$A$5:$A$39,'設定 Settings'!$A$9,'員工更表輸入'!$B$5:$B$39,H$172),Lists!$C$5&lt;SUMIFS('員工更表輸入'!$F$5:$F$39,'員工更表輸入'!$A$5:$A$39,'設定 Settings'!$A$9,'員工更表輸入'!$B$5:$B$39,H$172)),"Break","Work"))</f>
        <v/>
      </c>
    </row>
    <row r="177">
      <c r="A177" s="22" t="inlineStr">
        <is>
          <t>11:45am-12:15pm</t>
        </is>
      </c>
      <c r="B177" s="24">
        <f>IF(OR(SUMIFS('員工更表輸入'!$D$5:$D$39,'員工更表輸入'!$A$5:$A$39,'設定 Settings'!$A$9,'員工更表輸入'!$B$5:$B$39,B$172)&lt;=0,Lists!$C$6&lt;SUMIFS('員工更表輸入'!$C$5:$C$39,'員工更表輸入'!$A$5:$A$39,'設定 Settings'!$A$9,'員工更表輸入'!$B$5:$B$39,B$172),Lists!$C$6&gt;=SUMIFS('員工更表輸入'!$D$5:$D$39,'員工更表輸入'!$A$5:$A$39,'設定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Settings'!$A$9,'員工更表輸入'!$B$5:$B$39,B$172)&gt;0,Lists!$C$6&gt;=SUMIFS('員工更表輸入'!$E$5:$E$39,'員工更表輸入'!$A$5:$A$39,'設定 Settings'!$A$9,'員工更表輸入'!$B$5:$B$39,B$172),Lists!$C$6&lt;SUMIFS('員工更表輸入'!$F$5:$F$39,'員工更表輸入'!$A$5:$A$39,'設定 Settings'!$A$9,'員工更表輸入'!$B$5:$B$39,B$172)),"Break","Work"))</f>
        <v/>
      </c>
      <c r="C177" s="24">
        <f>IF(OR(SUMIFS('員工更表輸入'!$D$5:$D$39,'員工更表輸入'!$A$5:$A$39,'設定 Settings'!$A$9,'員工更表輸入'!$B$5:$B$39,C$172)&lt;=0,Lists!$C$6&lt;SUMIFS('員工更表輸入'!$C$5:$C$39,'員工更表輸入'!$A$5:$A$39,'設定 Settings'!$A$9,'員工更表輸入'!$B$5:$B$39,C$172),Lists!$C$6&gt;=SUMIFS('員工更表輸入'!$D$5:$D$39,'員工更表輸入'!$A$5:$A$39,'設定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Settings'!$A$9,'員工更表輸入'!$B$5:$B$39,C$172)&gt;0,Lists!$C$6&gt;=SUMIFS('員工更表輸入'!$E$5:$E$39,'員工更表輸入'!$A$5:$A$39,'設定 Settings'!$A$9,'員工更表輸入'!$B$5:$B$39,C$172),Lists!$C$6&lt;SUMIFS('員工更表輸入'!$F$5:$F$39,'員工更表輸入'!$A$5:$A$39,'設定 Settings'!$A$9,'員工更表輸入'!$B$5:$B$39,C$172)),"Break","Work"))</f>
        <v/>
      </c>
      <c r="D177" s="24">
        <f>IF(OR(SUMIFS('員工更表輸入'!$D$5:$D$39,'員工更表輸入'!$A$5:$A$39,'設定 Settings'!$A$9,'員工更表輸入'!$B$5:$B$39,D$172)&lt;=0,Lists!$C$6&lt;SUMIFS('員工更表輸入'!$C$5:$C$39,'員工更表輸入'!$A$5:$A$39,'設定 Settings'!$A$9,'員工更表輸入'!$B$5:$B$39,D$172),Lists!$C$6&gt;=SUMIFS('員工更表輸入'!$D$5:$D$39,'員工更表輸入'!$A$5:$A$39,'設定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Settings'!$A$9,'員工更表輸入'!$B$5:$B$39,D$172)&gt;0,Lists!$C$6&gt;=SUMIFS('員工更表輸入'!$E$5:$E$39,'員工更表輸入'!$A$5:$A$39,'設定 Settings'!$A$9,'員工更表輸入'!$B$5:$B$39,D$172),Lists!$C$6&lt;SUMIFS('員工更表輸入'!$F$5:$F$39,'員工更表輸入'!$A$5:$A$39,'設定 Settings'!$A$9,'員工更表輸入'!$B$5:$B$39,D$172)),"Break","Work"))</f>
        <v/>
      </c>
      <c r="E177" s="24">
        <f>IF(OR(SUMIFS('員工更表輸入'!$D$5:$D$39,'員工更表輸入'!$A$5:$A$39,'設定 Settings'!$A$9,'員工更表輸入'!$B$5:$B$39,E$172)&lt;=0,Lists!$C$6&lt;SUMIFS('員工更表輸入'!$C$5:$C$39,'員工更表輸入'!$A$5:$A$39,'設定 Settings'!$A$9,'員工更表輸入'!$B$5:$B$39,E$172),Lists!$C$6&gt;=SUMIFS('員工更表輸入'!$D$5:$D$39,'員工更表輸入'!$A$5:$A$39,'設定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Settings'!$A$9,'員工更表輸入'!$B$5:$B$39,E$172)&gt;0,Lists!$C$6&gt;=SUMIFS('員工更表輸入'!$E$5:$E$39,'員工更表輸入'!$A$5:$A$39,'設定 Settings'!$A$9,'員工更表輸入'!$B$5:$B$39,E$172),Lists!$C$6&lt;SUMIFS('員工更表輸入'!$F$5:$F$39,'員工更表輸入'!$A$5:$A$39,'設定 Settings'!$A$9,'員工更表輸入'!$B$5:$B$39,E$172)),"Break","Work"))</f>
        <v/>
      </c>
      <c r="F177" s="24">
        <f>IF(OR(SUMIFS('員工更表輸入'!$D$5:$D$39,'員工更表輸入'!$A$5:$A$39,'設定 Settings'!$A$9,'員工更表輸入'!$B$5:$B$39,F$172)&lt;=0,Lists!$C$6&lt;SUMIFS('員工更表輸入'!$C$5:$C$39,'員工更表輸入'!$A$5:$A$39,'設定 Settings'!$A$9,'員工更表輸入'!$B$5:$B$39,F$172),Lists!$C$6&gt;=SUMIFS('員工更表輸入'!$D$5:$D$39,'員工更表輸入'!$A$5:$A$39,'設定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Settings'!$A$9,'員工更表輸入'!$B$5:$B$39,F$172)&gt;0,Lists!$C$6&gt;=SUMIFS('員工更表輸入'!$E$5:$E$39,'員工更表輸入'!$A$5:$A$39,'設定 Settings'!$A$9,'員工更表輸入'!$B$5:$B$39,F$172),Lists!$C$6&lt;SUMIFS('員工更表輸入'!$F$5:$F$39,'員工更表輸入'!$A$5:$A$39,'設定 Settings'!$A$9,'員工更表輸入'!$B$5:$B$39,F$172)),"Break","Work"))</f>
        <v/>
      </c>
      <c r="G177" s="24">
        <f>IF(OR(SUMIFS('員工更表輸入'!$D$5:$D$39,'員工更表輸入'!$A$5:$A$39,'設定 Settings'!$A$9,'員工更表輸入'!$B$5:$B$39,G$172)&lt;=0,Lists!$C$6&lt;SUMIFS('員工更表輸入'!$C$5:$C$39,'員工更表輸入'!$A$5:$A$39,'設定 Settings'!$A$9,'員工更表輸入'!$B$5:$B$39,G$172),Lists!$C$6&gt;=SUMIFS('員工更表輸入'!$D$5:$D$39,'員工更表輸入'!$A$5:$A$39,'設定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Settings'!$A$9,'員工更表輸入'!$B$5:$B$39,G$172)&gt;0,Lists!$C$6&gt;=SUMIFS('員工更表輸入'!$E$5:$E$39,'員工更表輸入'!$A$5:$A$39,'設定 Settings'!$A$9,'員工更表輸入'!$B$5:$B$39,G$172),Lists!$C$6&lt;SUMIFS('員工更表輸入'!$F$5:$F$39,'員工更表輸入'!$A$5:$A$39,'設定 Settings'!$A$9,'員工更表輸入'!$B$5:$B$39,G$172)),"Break","Work"))</f>
        <v/>
      </c>
      <c r="H177" s="24">
        <f>IF(OR(SUMIFS('員工更表輸入'!$D$5:$D$39,'員工更表輸入'!$A$5:$A$39,'設定 Settings'!$A$9,'員工更表輸入'!$B$5:$B$39,H$172)&lt;=0,Lists!$C$6&lt;SUMIFS('員工更表輸入'!$C$5:$C$39,'員工更表輸入'!$A$5:$A$39,'設定 Settings'!$A$9,'員工更表輸入'!$B$5:$B$39,H$172),Lists!$C$6&gt;=SUMIFS('員工更表輸入'!$D$5:$D$39,'員工更表輸入'!$A$5:$A$39,'設定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Settings'!$A$9,'員工更表輸入'!$B$5:$B$39,H$172)&gt;0,Lists!$C$6&gt;=SUMIFS('員工更表輸入'!$E$5:$E$39,'員工更表輸入'!$A$5:$A$39,'設定 Settings'!$A$9,'員工更表輸入'!$B$5:$B$39,H$172),Lists!$C$6&lt;SUMIFS('員工更表輸入'!$F$5:$F$39,'員工更表輸入'!$A$5:$A$39,'設定 Settings'!$A$9,'員工更表輸入'!$B$5:$B$39,H$172)),"Break","Work"))</f>
        <v/>
      </c>
    </row>
    <row r="178">
      <c r="A178" s="22" t="inlineStr">
        <is>
          <t>12:15pm-12:45pm</t>
        </is>
      </c>
      <c r="B178" s="24">
        <f>IF(OR(SUMIFS('員工更表輸入'!$D$5:$D$39,'員工更表輸入'!$A$5:$A$39,'設定 Settings'!$A$9,'員工更表輸入'!$B$5:$B$39,B$172)&lt;=0,Lists!$C$7&lt;SUMIFS('員工更表輸入'!$C$5:$C$39,'員工更表輸入'!$A$5:$A$39,'設定 Settings'!$A$9,'員工更表輸入'!$B$5:$B$39,B$172),Lists!$C$7&gt;=SUMIFS('員工更表輸入'!$D$5:$D$39,'員工更表輸入'!$A$5:$A$39,'設定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Settings'!$A$9,'員工更表輸入'!$B$5:$B$39,B$172)&gt;0,Lists!$C$7&gt;=SUMIFS('員工更表輸入'!$E$5:$E$39,'員工更表輸入'!$A$5:$A$39,'設定 Settings'!$A$9,'員工更表輸入'!$B$5:$B$39,B$172),Lists!$C$7&lt;SUMIFS('員工更表輸入'!$F$5:$F$39,'員工更表輸入'!$A$5:$A$39,'設定 Settings'!$A$9,'員工更表輸入'!$B$5:$B$39,B$172)),"Break","Work"))</f>
        <v/>
      </c>
      <c r="C178" s="24">
        <f>IF(OR(SUMIFS('員工更表輸入'!$D$5:$D$39,'員工更表輸入'!$A$5:$A$39,'設定 Settings'!$A$9,'員工更表輸入'!$B$5:$B$39,C$172)&lt;=0,Lists!$C$7&lt;SUMIFS('員工更表輸入'!$C$5:$C$39,'員工更表輸入'!$A$5:$A$39,'設定 Settings'!$A$9,'員工更表輸入'!$B$5:$B$39,C$172),Lists!$C$7&gt;=SUMIFS('員工更表輸入'!$D$5:$D$39,'員工更表輸入'!$A$5:$A$39,'設定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Settings'!$A$9,'員工更表輸入'!$B$5:$B$39,C$172)&gt;0,Lists!$C$7&gt;=SUMIFS('員工更表輸入'!$E$5:$E$39,'員工更表輸入'!$A$5:$A$39,'設定 Settings'!$A$9,'員工更表輸入'!$B$5:$B$39,C$172),Lists!$C$7&lt;SUMIFS('員工更表輸入'!$F$5:$F$39,'員工更表輸入'!$A$5:$A$39,'設定 Settings'!$A$9,'員工更表輸入'!$B$5:$B$39,C$172)),"Break","Work"))</f>
        <v/>
      </c>
      <c r="D178" s="24">
        <f>IF(OR(SUMIFS('員工更表輸入'!$D$5:$D$39,'員工更表輸入'!$A$5:$A$39,'設定 Settings'!$A$9,'員工更表輸入'!$B$5:$B$39,D$172)&lt;=0,Lists!$C$7&lt;SUMIFS('員工更表輸入'!$C$5:$C$39,'員工更表輸入'!$A$5:$A$39,'設定 Settings'!$A$9,'員工更表輸入'!$B$5:$B$39,D$172),Lists!$C$7&gt;=SUMIFS('員工更表輸入'!$D$5:$D$39,'員工更表輸入'!$A$5:$A$39,'設定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Settings'!$A$9,'員工更表輸入'!$B$5:$B$39,D$172)&gt;0,Lists!$C$7&gt;=SUMIFS('員工更表輸入'!$E$5:$E$39,'員工更表輸入'!$A$5:$A$39,'設定 Settings'!$A$9,'員工更表輸入'!$B$5:$B$39,D$172),Lists!$C$7&lt;SUMIFS('員工更表輸入'!$F$5:$F$39,'員工更表輸入'!$A$5:$A$39,'設定 Settings'!$A$9,'員工更表輸入'!$B$5:$B$39,D$172)),"Break","Work"))</f>
        <v/>
      </c>
      <c r="E178" s="24">
        <f>IF(OR(SUMIFS('員工更表輸入'!$D$5:$D$39,'員工更表輸入'!$A$5:$A$39,'設定 Settings'!$A$9,'員工更表輸入'!$B$5:$B$39,E$172)&lt;=0,Lists!$C$7&lt;SUMIFS('員工更表輸入'!$C$5:$C$39,'員工更表輸入'!$A$5:$A$39,'設定 Settings'!$A$9,'員工更表輸入'!$B$5:$B$39,E$172),Lists!$C$7&gt;=SUMIFS('員工更表輸入'!$D$5:$D$39,'員工更表輸入'!$A$5:$A$39,'設定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Settings'!$A$9,'員工更表輸入'!$B$5:$B$39,E$172)&gt;0,Lists!$C$7&gt;=SUMIFS('員工更表輸入'!$E$5:$E$39,'員工更表輸入'!$A$5:$A$39,'設定 Settings'!$A$9,'員工更表輸入'!$B$5:$B$39,E$172),Lists!$C$7&lt;SUMIFS('員工更表輸入'!$F$5:$F$39,'員工更表輸入'!$A$5:$A$39,'設定 Settings'!$A$9,'員工更表輸入'!$B$5:$B$39,E$172)),"Break","Work"))</f>
        <v/>
      </c>
      <c r="F178" s="24">
        <f>IF(OR(SUMIFS('員工更表輸入'!$D$5:$D$39,'員工更表輸入'!$A$5:$A$39,'設定 Settings'!$A$9,'員工更表輸入'!$B$5:$B$39,F$172)&lt;=0,Lists!$C$7&lt;SUMIFS('員工更表輸入'!$C$5:$C$39,'員工更表輸入'!$A$5:$A$39,'設定 Settings'!$A$9,'員工更表輸入'!$B$5:$B$39,F$172),Lists!$C$7&gt;=SUMIFS('員工更表輸入'!$D$5:$D$39,'員工更表輸入'!$A$5:$A$39,'設定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Settings'!$A$9,'員工更表輸入'!$B$5:$B$39,F$172)&gt;0,Lists!$C$7&gt;=SUMIFS('員工更表輸入'!$E$5:$E$39,'員工更表輸入'!$A$5:$A$39,'設定 Settings'!$A$9,'員工更表輸入'!$B$5:$B$39,F$172),Lists!$C$7&lt;SUMIFS('員工更表輸入'!$F$5:$F$39,'員工更表輸入'!$A$5:$A$39,'設定 Settings'!$A$9,'員工更表輸入'!$B$5:$B$39,F$172)),"Break","Work"))</f>
        <v/>
      </c>
      <c r="G178" s="24">
        <f>IF(OR(SUMIFS('員工更表輸入'!$D$5:$D$39,'員工更表輸入'!$A$5:$A$39,'設定 Settings'!$A$9,'員工更表輸入'!$B$5:$B$39,G$172)&lt;=0,Lists!$C$7&lt;SUMIFS('員工更表輸入'!$C$5:$C$39,'員工更表輸入'!$A$5:$A$39,'設定 Settings'!$A$9,'員工更表輸入'!$B$5:$B$39,G$172),Lists!$C$7&gt;=SUMIFS('員工更表輸入'!$D$5:$D$39,'員工更表輸入'!$A$5:$A$39,'設定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Settings'!$A$9,'員工更表輸入'!$B$5:$B$39,G$172)&gt;0,Lists!$C$7&gt;=SUMIFS('員工更表輸入'!$E$5:$E$39,'員工更表輸入'!$A$5:$A$39,'設定 Settings'!$A$9,'員工更表輸入'!$B$5:$B$39,G$172),Lists!$C$7&lt;SUMIFS('員工更表輸入'!$F$5:$F$39,'員工更表輸入'!$A$5:$A$39,'設定 Settings'!$A$9,'員工更表輸入'!$B$5:$B$39,G$172)),"Break","Work"))</f>
        <v/>
      </c>
      <c r="H178" s="24">
        <f>IF(OR(SUMIFS('員工更表輸入'!$D$5:$D$39,'員工更表輸入'!$A$5:$A$39,'設定 Settings'!$A$9,'員工更表輸入'!$B$5:$B$39,H$172)&lt;=0,Lists!$C$7&lt;SUMIFS('員工更表輸入'!$C$5:$C$39,'員工更表輸入'!$A$5:$A$39,'設定 Settings'!$A$9,'員工更表輸入'!$B$5:$B$39,H$172),Lists!$C$7&gt;=SUMIFS('員工更表輸入'!$D$5:$D$39,'員工更表輸入'!$A$5:$A$39,'設定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Settings'!$A$9,'員工更表輸入'!$B$5:$B$39,H$172)&gt;0,Lists!$C$7&gt;=SUMIFS('員工更表輸入'!$E$5:$E$39,'員工更表輸入'!$A$5:$A$39,'設定 Settings'!$A$9,'員工更表輸入'!$B$5:$B$39,H$172),Lists!$C$7&lt;SUMIFS('員工更表輸入'!$F$5:$F$39,'員工更表輸入'!$A$5:$A$39,'設定 Settings'!$A$9,'員工更表輸入'!$B$5:$B$39,H$172)),"Break","Work"))</f>
        <v/>
      </c>
    </row>
    <row r="179">
      <c r="A179" s="22" t="inlineStr">
        <is>
          <t>12:45pm-1:15pm</t>
        </is>
      </c>
      <c r="B179" s="24">
        <f>IF(OR(SUMIFS('員工更表輸入'!$D$5:$D$39,'員工更表輸入'!$A$5:$A$39,'設定 Settings'!$A$9,'員工更表輸入'!$B$5:$B$39,B$172)&lt;=0,Lists!$C$8&lt;SUMIFS('員工更表輸入'!$C$5:$C$39,'員工更表輸入'!$A$5:$A$39,'設定 Settings'!$A$9,'員工更表輸入'!$B$5:$B$39,B$172),Lists!$C$8&gt;=SUMIFS('員工更表輸入'!$D$5:$D$39,'員工更表輸入'!$A$5:$A$39,'設定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Settings'!$A$9,'員工更表輸入'!$B$5:$B$39,B$172)&gt;0,Lists!$C$8&gt;=SUMIFS('員工更表輸入'!$E$5:$E$39,'員工更表輸入'!$A$5:$A$39,'設定 Settings'!$A$9,'員工更表輸入'!$B$5:$B$39,B$172),Lists!$C$8&lt;SUMIFS('員工更表輸入'!$F$5:$F$39,'員工更表輸入'!$A$5:$A$39,'設定 Settings'!$A$9,'員工更表輸入'!$B$5:$B$39,B$172)),"Break","Work"))</f>
        <v/>
      </c>
      <c r="C179" s="24">
        <f>IF(OR(SUMIFS('員工更表輸入'!$D$5:$D$39,'員工更表輸入'!$A$5:$A$39,'設定 Settings'!$A$9,'員工更表輸入'!$B$5:$B$39,C$172)&lt;=0,Lists!$C$8&lt;SUMIFS('員工更表輸入'!$C$5:$C$39,'員工更表輸入'!$A$5:$A$39,'設定 Settings'!$A$9,'員工更表輸入'!$B$5:$B$39,C$172),Lists!$C$8&gt;=SUMIFS('員工更表輸入'!$D$5:$D$39,'員工更表輸入'!$A$5:$A$39,'設定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Settings'!$A$9,'員工更表輸入'!$B$5:$B$39,C$172)&gt;0,Lists!$C$8&gt;=SUMIFS('員工更表輸入'!$E$5:$E$39,'員工更表輸入'!$A$5:$A$39,'設定 Settings'!$A$9,'員工更表輸入'!$B$5:$B$39,C$172),Lists!$C$8&lt;SUMIFS('員工更表輸入'!$F$5:$F$39,'員工更表輸入'!$A$5:$A$39,'設定 Settings'!$A$9,'員工更表輸入'!$B$5:$B$39,C$172)),"Break","Work"))</f>
        <v/>
      </c>
      <c r="D179" s="24">
        <f>IF(OR(SUMIFS('員工更表輸入'!$D$5:$D$39,'員工更表輸入'!$A$5:$A$39,'設定 Settings'!$A$9,'員工更表輸入'!$B$5:$B$39,D$172)&lt;=0,Lists!$C$8&lt;SUMIFS('員工更表輸入'!$C$5:$C$39,'員工更表輸入'!$A$5:$A$39,'設定 Settings'!$A$9,'員工更表輸入'!$B$5:$B$39,D$172),Lists!$C$8&gt;=SUMIFS('員工更表輸入'!$D$5:$D$39,'員工更表輸入'!$A$5:$A$39,'設定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Settings'!$A$9,'員工更表輸入'!$B$5:$B$39,D$172)&gt;0,Lists!$C$8&gt;=SUMIFS('員工更表輸入'!$E$5:$E$39,'員工更表輸入'!$A$5:$A$39,'設定 Settings'!$A$9,'員工更表輸入'!$B$5:$B$39,D$172),Lists!$C$8&lt;SUMIFS('員工更表輸入'!$F$5:$F$39,'員工更表輸入'!$A$5:$A$39,'設定 Settings'!$A$9,'員工更表輸入'!$B$5:$B$39,D$172)),"Break","Work"))</f>
        <v/>
      </c>
      <c r="E179" s="24">
        <f>IF(OR(SUMIFS('員工更表輸入'!$D$5:$D$39,'員工更表輸入'!$A$5:$A$39,'設定 Settings'!$A$9,'員工更表輸入'!$B$5:$B$39,E$172)&lt;=0,Lists!$C$8&lt;SUMIFS('員工更表輸入'!$C$5:$C$39,'員工更表輸入'!$A$5:$A$39,'設定 Settings'!$A$9,'員工更表輸入'!$B$5:$B$39,E$172),Lists!$C$8&gt;=SUMIFS('員工更表輸入'!$D$5:$D$39,'員工更表輸入'!$A$5:$A$39,'設定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Settings'!$A$9,'員工更表輸入'!$B$5:$B$39,E$172)&gt;0,Lists!$C$8&gt;=SUMIFS('員工更表輸入'!$E$5:$E$39,'員工更表輸入'!$A$5:$A$39,'設定 Settings'!$A$9,'員工更表輸入'!$B$5:$B$39,E$172),Lists!$C$8&lt;SUMIFS('員工更表輸入'!$F$5:$F$39,'員工更表輸入'!$A$5:$A$39,'設定 Settings'!$A$9,'員工更表輸入'!$B$5:$B$39,E$172)),"Break","Work"))</f>
        <v/>
      </c>
      <c r="F179" s="24">
        <f>IF(OR(SUMIFS('員工更表輸入'!$D$5:$D$39,'員工更表輸入'!$A$5:$A$39,'設定 Settings'!$A$9,'員工更表輸入'!$B$5:$B$39,F$172)&lt;=0,Lists!$C$8&lt;SUMIFS('員工更表輸入'!$C$5:$C$39,'員工更表輸入'!$A$5:$A$39,'設定 Settings'!$A$9,'員工更表輸入'!$B$5:$B$39,F$172),Lists!$C$8&gt;=SUMIFS('員工更表輸入'!$D$5:$D$39,'員工更表輸入'!$A$5:$A$39,'設定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Settings'!$A$9,'員工更表輸入'!$B$5:$B$39,F$172)&gt;0,Lists!$C$8&gt;=SUMIFS('員工更表輸入'!$E$5:$E$39,'員工更表輸入'!$A$5:$A$39,'設定 Settings'!$A$9,'員工更表輸入'!$B$5:$B$39,F$172),Lists!$C$8&lt;SUMIFS('員工更表輸入'!$F$5:$F$39,'員工更表輸入'!$A$5:$A$39,'設定 Settings'!$A$9,'員工更表輸入'!$B$5:$B$39,F$172)),"Break","Work"))</f>
        <v/>
      </c>
      <c r="G179" s="24">
        <f>IF(OR(SUMIFS('員工更表輸入'!$D$5:$D$39,'員工更表輸入'!$A$5:$A$39,'設定 Settings'!$A$9,'員工更表輸入'!$B$5:$B$39,G$172)&lt;=0,Lists!$C$8&lt;SUMIFS('員工更表輸入'!$C$5:$C$39,'員工更表輸入'!$A$5:$A$39,'設定 Settings'!$A$9,'員工更表輸入'!$B$5:$B$39,G$172),Lists!$C$8&gt;=SUMIFS('員工更表輸入'!$D$5:$D$39,'員工更表輸入'!$A$5:$A$39,'設定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Settings'!$A$9,'員工更表輸入'!$B$5:$B$39,G$172)&gt;0,Lists!$C$8&gt;=SUMIFS('員工更表輸入'!$E$5:$E$39,'員工更表輸入'!$A$5:$A$39,'設定 Settings'!$A$9,'員工更表輸入'!$B$5:$B$39,G$172),Lists!$C$8&lt;SUMIFS('員工更表輸入'!$F$5:$F$39,'員工更表輸入'!$A$5:$A$39,'設定 Settings'!$A$9,'員工更表輸入'!$B$5:$B$39,G$172)),"Break","Work"))</f>
        <v/>
      </c>
      <c r="H179" s="24">
        <f>IF(OR(SUMIFS('員工更表輸入'!$D$5:$D$39,'員工更表輸入'!$A$5:$A$39,'設定 Settings'!$A$9,'員工更表輸入'!$B$5:$B$39,H$172)&lt;=0,Lists!$C$8&lt;SUMIFS('員工更表輸入'!$C$5:$C$39,'員工更表輸入'!$A$5:$A$39,'設定 Settings'!$A$9,'員工更表輸入'!$B$5:$B$39,H$172),Lists!$C$8&gt;=SUMIFS('員工更表輸入'!$D$5:$D$39,'員工更表輸入'!$A$5:$A$39,'設定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Settings'!$A$9,'員工更表輸入'!$B$5:$B$39,H$172)&gt;0,Lists!$C$8&gt;=SUMIFS('員工更表輸入'!$E$5:$E$39,'員工更表輸入'!$A$5:$A$39,'設定 Settings'!$A$9,'員工更表輸入'!$B$5:$B$39,H$172),Lists!$C$8&lt;SUMIFS('員工更表輸入'!$F$5:$F$39,'員工更表輸入'!$A$5:$A$39,'設定 Settings'!$A$9,'員工更表輸入'!$B$5:$B$39,H$172)),"Break","Work"))</f>
        <v/>
      </c>
    </row>
    <row r="180">
      <c r="A180" s="22" t="inlineStr">
        <is>
          <t>1:15pm-1:45pm</t>
        </is>
      </c>
      <c r="B180" s="24">
        <f>IF(OR(SUMIFS('員工更表輸入'!$D$5:$D$39,'員工更表輸入'!$A$5:$A$39,'設定 Settings'!$A$9,'員工更表輸入'!$B$5:$B$39,B$172)&lt;=0,Lists!$C$9&lt;SUMIFS('員工更表輸入'!$C$5:$C$39,'員工更表輸入'!$A$5:$A$39,'設定 Settings'!$A$9,'員工更表輸入'!$B$5:$B$39,B$172),Lists!$C$9&gt;=SUMIFS('員工更表輸入'!$D$5:$D$39,'員工更表輸入'!$A$5:$A$39,'設定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Settings'!$A$9,'員工更表輸入'!$B$5:$B$39,B$172)&gt;0,Lists!$C$9&gt;=SUMIFS('員工更表輸入'!$E$5:$E$39,'員工更表輸入'!$A$5:$A$39,'設定 Settings'!$A$9,'員工更表輸入'!$B$5:$B$39,B$172),Lists!$C$9&lt;SUMIFS('員工更表輸入'!$F$5:$F$39,'員工更表輸入'!$A$5:$A$39,'設定 Settings'!$A$9,'員工更表輸入'!$B$5:$B$39,B$172)),"Break","Work"))</f>
        <v/>
      </c>
      <c r="C180" s="24">
        <f>IF(OR(SUMIFS('員工更表輸入'!$D$5:$D$39,'員工更表輸入'!$A$5:$A$39,'設定 Settings'!$A$9,'員工更表輸入'!$B$5:$B$39,C$172)&lt;=0,Lists!$C$9&lt;SUMIFS('員工更表輸入'!$C$5:$C$39,'員工更表輸入'!$A$5:$A$39,'設定 Settings'!$A$9,'員工更表輸入'!$B$5:$B$39,C$172),Lists!$C$9&gt;=SUMIFS('員工更表輸入'!$D$5:$D$39,'員工更表輸入'!$A$5:$A$39,'設定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Settings'!$A$9,'員工更表輸入'!$B$5:$B$39,C$172)&gt;0,Lists!$C$9&gt;=SUMIFS('員工更表輸入'!$E$5:$E$39,'員工更表輸入'!$A$5:$A$39,'設定 Settings'!$A$9,'員工更表輸入'!$B$5:$B$39,C$172),Lists!$C$9&lt;SUMIFS('員工更表輸入'!$F$5:$F$39,'員工更表輸入'!$A$5:$A$39,'設定 Settings'!$A$9,'員工更表輸入'!$B$5:$B$39,C$172)),"Break","Work"))</f>
        <v/>
      </c>
      <c r="D180" s="24">
        <f>IF(OR(SUMIFS('員工更表輸入'!$D$5:$D$39,'員工更表輸入'!$A$5:$A$39,'設定 Settings'!$A$9,'員工更表輸入'!$B$5:$B$39,D$172)&lt;=0,Lists!$C$9&lt;SUMIFS('員工更表輸入'!$C$5:$C$39,'員工更表輸入'!$A$5:$A$39,'設定 Settings'!$A$9,'員工更表輸入'!$B$5:$B$39,D$172),Lists!$C$9&gt;=SUMIFS('員工更表輸入'!$D$5:$D$39,'員工更表輸入'!$A$5:$A$39,'設定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Settings'!$A$9,'員工更表輸入'!$B$5:$B$39,D$172)&gt;0,Lists!$C$9&gt;=SUMIFS('員工更表輸入'!$E$5:$E$39,'員工更表輸入'!$A$5:$A$39,'設定 Settings'!$A$9,'員工更表輸入'!$B$5:$B$39,D$172),Lists!$C$9&lt;SUMIFS('員工更表輸入'!$F$5:$F$39,'員工更表輸入'!$A$5:$A$39,'設定 Settings'!$A$9,'員工更表輸入'!$B$5:$B$39,D$172)),"Break","Work"))</f>
        <v/>
      </c>
      <c r="E180" s="24">
        <f>IF(OR(SUMIFS('員工更表輸入'!$D$5:$D$39,'員工更表輸入'!$A$5:$A$39,'設定 Settings'!$A$9,'員工更表輸入'!$B$5:$B$39,E$172)&lt;=0,Lists!$C$9&lt;SUMIFS('員工更表輸入'!$C$5:$C$39,'員工更表輸入'!$A$5:$A$39,'設定 Settings'!$A$9,'員工更表輸入'!$B$5:$B$39,E$172),Lists!$C$9&gt;=SUMIFS('員工更表輸入'!$D$5:$D$39,'員工更表輸入'!$A$5:$A$39,'設定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Settings'!$A$9,'員工更表輸入'!$B$5:$B$39,E$172)&gt;0,Lists!$C$9&gt;=SUMIFS('員工更表輸入'!$E$5:$E$39,'員工更表輸入'!$A$5:$A$39,'設定 Settings'!$A$9,'員工更表輸入'!$B$5:$B$39,E$172),Lists!$C$9&lt;SUMIFS('員工更表輸入'!$F$5:$F$39,'員工更表輸入'!$A$5:$A$39,'設定 Settings'!$A$9,'員工更表輸入'!$B$5:$B$39,E$172)),"Break","Work"))</f>
        <v/>
      </c>
      <c r="F180" s="24">
        <f>IF(OR(SUMIFS('員工更表輸入'!$D$5:$D$39,'員工更表輸入'!$A$5:$A$39,'設定 Settings'!$A$9,'員工更表輸入'!$B$5:$B$39,F$172)&lt;=0,Lists!$C$9&lt;SUMIFS('員工更表輸入'!$C$5:$C$39,'員工更表輸入'!$A$5:$A$39,'設定 Settings'!$A$9,'員工更表輸入'!$B$5:$B$39,F$172),Lists!$C$9&gt;=SUMIFS('員工更表輸入'!$D$5:$D$39,'員工更表輸入'!$A$5:$A$39,'設定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Settings'!$A$9,'員工更表輸入'!$B$5:$B$39,F$172)&gt;0,Lists!$C$9&gt;=SUMIFS('員工更表輸入'!$E$5:$E$39,'員工更表輸入'!$A$5:$A$39,'設定 Settings'!$A$9,'員工更表輸入'!$B$5:$B$39,F$172),Lists!$C$9&lt;SUMIFS('員工更表輸入'!$F$5:$F$39,'員工更表輸入'!$A$5:$A$39,'設定 Settings'!$A$9,'員工更表輸入'!$B$5:$B$39,F$172)),"Break","Work"))</f>
        <v/>
      </c>
      <c r="G180" s="24">
        <f>IF(OR(SUMIFS('員工更表輸入'!$D$5:$D$39,'員工更表輸入'!$A$5:$A$39,'設定 Settings'!$A$9,'員工更表輸入'!$B$5:$B$39,G$172)&lt;=0,Lists!$C$9&lt;SUMIFS('員工更表輸入'!$C$5:$C$39,'員工更表輸入'!$A$5:$A$39,'設定 Settings'!$A$9,'員工更表輸入'!$B$5:$B$39,G$172),Lists!$C$9&gt;=SUMIFS('員工更表輸入'!$D$5:$D$39,'員工更表輸入'!$A$5:$A$39,'設定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Settings'!$A$9,'員工更表輸入'!$B$5:$B$39,G$172)&gt;0,Lists!$C$9&gt;=SUMIFS('員工更表輸入'!$E$5:$E$39,'員工更表輸入'!$A$5:$A$39,'設定 Settings'!$A$9,'員工更表輸入'!$B$5:$B$39,G$172),Lists!$C$9&lt;SUMIFS('員工更表輸入'!$F$5:$F$39,'員工更表輸入'!$A$5:$A$39,'設定 Settings'!$A$9,'員工更表輸入'!$B$5:$B$39,G$172)),"Break","Work"))</f>
        <v/>
      </c>
      <c r="H180" s="24">
        <f>IF(OR(SUMIFS('員工更表輸入'!$D$5:$D$39,'員工更表輸入'!$A$5:$A$39,'設定 Settings'!$A$9,'員工更表輸入'!$B$5:$B$39,H$172)&lt;=0,Lists!$C$9&lt;SUMIFS('員工更表輸入'!$C$5:$C$39,'員工更表輸入'!$A$5:$A$39,'設定 Settings'!$A$9,'員工更表輸入'!$B$5:$B$39,H$172),Lists!$C$9&gt;=SUMIFS('員工更表輸入'!$D$5:$D$39,'員工更表輸入'!$A$5:$A$39,'設定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Settings'!$A$9,'員工更表輸入'!$B$5:$B$39,H$172)&gt;0,Lists!$C$9&gt;=SUMIFS('員工更表輸入'!$E$5:$E$39,'員工更表輸入'!$A$5:$A$39,'設定 Settings'!$A$9,'員工更表輸入'!$B$5:$B$39,H$172),Lists!$C$9&lt;SUMIFS('員工更表輸入'!$F$5:$F$39,'員工更表輸入'!$A$5:$A$39,'設定 Settings'!$A$9,'員工更表輸入'!$B$5:$B$39,H$172)),"Break","Work"))</f>
        <v/>
      </c>
    </row>
    <row r="181">
      <c r="A181" s="22" t="inlineStr">
        <is>
          <t>1:45pm-2:15pm</t>
        </is>
      </c>
      <c r="B181" s="24">
        <f>IF(OR(SUMIFS('員工更表輸入'!$D$5:$D$39,'員工更表輸入'!$A$5:$A$39,'設定 Settings'!$A$9,'員工更表輸入'!$B$5:$B$39,B$172)&lt;=0,Lists!$C$10&lt;SUMIFS('員工更表輸入'!$C$5:$C$39,'員工更表輸入'!$A$5:$A$39,'設定 Settings'!$A$9,'員工更表輸入'!$B$5:$B$39,B$172),Lists!$C$10&gt;=SUMIFS('員工更表輸入'!$D$5:$D$39,'員工更表輸入'!$A$5:$A$39,'設定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Settings'!$A$9,'員工更表輸入'!$B$5:$B$39,B$172)&gt;0,Lists!$C$10&gt;=SUMIFS('員工更表輸入'!$E$5:$E$39,'員工更表輸入'!$A$5:$A$39,'設定 Settings'!$A$9,'員工更表輸入'!$B$5:$B$39,B$172),Lists!$C$10&lt;SUMIFS('員工更表輸入'!$F$5:$F$39,'員工更表輸入'!$A$5:$A$39,'設定 Settings'!$A$9,'員工更表輸入'!$B$5:$B$39,B$172)),"Break","Work"))</f>
        <v/>
      </c>
      <c r="C181" s="24">
        <f>IF(OR(SUMIFS('員工更表輸入'!$D$5:$D$39,'員工更表輸入'!$A$5:$A$39,'設定 Settings'!$A$9,'員工更表輸入'!$B$5:$B$39,C$172)&lt;=0,Lists!$C$10&lt;SUMIFS('員工更表輸入'!$C$5:$C$39,'員工更表輸入'!$A$5:$A$39,'設定 Settings'!$A$9,'員工更表輸入'!$B$5:$B$39,C$172),Lists!$C$10&gt;=SUMIFS('員工更表輸入'!$D$5:$D$39,'員工更表輸入'!$A$5:$A$39,'設定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Settings'!$A$9,'員工更表輸入'!$B$5:$B$39,C$172)&gt;0,Lists!$C$10&gt;=SUMIFS('員工更表輸入'!$E$5:$E$39,'員工更表輸入'!$A$5:$A$39,'設定 Settings'!$A$9,'員工更表輸入'!$B$5:$B$39,C$172),Lists!$C$10&lt;SUMIFS('員工更表輸入'!$F$5:$F$39,'員工更表輸入'!$A$5:$A$39,'設定 Settings'!$A$9,'員工更表輸入'!$B$5:$B$39,C$172)),"Break","Work"))</f>
        <v/>
      </c>
      <c r="D181" s="24">
        <f>IF(OR(SUMIFS('員工更表輸入'!$D$5:$D$39,'員工更表輸入'!$A$5:$A$39,'設定 Settings'!$A$9,'員工更表輸入'!$B$5:$B$39,D$172)&lt;=0,Lists!$C$10&lt;SUMIFS('員工更表輸入'!$C$5:$C$39,'員工更表輸入'!$A$5:$A$39,'設定 Settings'!$A$9,'員工更表輸入'!$B$5:$B$39,D$172),Lists!$C$10&gt;=SUMIFS('員工更表輸入'!$D$5:$D$39,'員工更表輸入'!$A$5:$A$39,'設定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Settings'!$A$9,'員工更表輸入'!$B$5:$B$39,D$172)&gt;0,Lists!$C$10&gt;=SUMIFS('員工更表輸入'!$E$5:$E$39,'員工更表輸入'!$A$5:$A$39,'設定 Settings'!$A$9,'員工更表輸入'!$B$5:$B$39,D$172),Lists!$C$10&lt;SUMIFS('員工更表輸入'!$F$5:$F$39,'員工更表輸入'!$A$5:$A$39,'設定 Settings'!$A$9,'員工更表輸入'!$B$5:$B$39,D$172)),"Break","Work"))</f>
        <v/>
      </c>
      <c r="E181" s="24">
        <f>IF(OR(SUMIFS('員工更表輸入'!$D$5:$D$39,'員工更表輸入'!$A$5:$A$39,'設定 Settings'!$A$9,'員工更表輸入'!$B$5:$B$39,E$172)&lt;=0,Lists!$C$10&lt;SUMIFS('員工更表輸入'!$C$5:$C$39,'員工更表輸入'!$A$5:$A$39,'設定 Settings'!$A$9,'員工更表輸入'!$B$5:$B$39,E$172),Lists!$C$10&gt;=SUMIFS('員工更表輸入'!$D$5:$D$39,'員工更表輸入'!$A$5:$A$39,'設定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Settings'!$A$9,'員工更表輸入'!$B$5:$B$39,E$172)&gt;0,Lists!$C$10&gt;=SUMIFS('員工更表輸入'!$E$5:$E$39,'員工更表輸入'!$A$5:$A$39,'設定 Settings'!$A$9,'員工更表輸入'!$B$5:$B$39,E$172),Lists!$C$10&lt;SUMIFS('員工更表輸入'!$F$5:$F$39,'員工更表輸入'!$A$5:$A$39,'設定 Settings'!$A$9,'員工更表輸入'!$B$5:$B$39,E$172)),"Break","Work"))</f>
        <v/>
      </c>
      <c r="F181" s="24">
        <f>IF(OR(SUMIFS('員工更表輸入'!$D$5:$D$39,'員工更表輸入'!$A$5:$A$39,'設定 Settings'!$A$9,'員工更表輸入'!$B$5:$B$39,F$172)&lt;=0,Lists!$C$10&lt;SUMIFS('員工更表輸入'!$C$5:$C$39,'員工更表輸入'!$A$5:$A$39,'設定 Settings'!$A$9,'員工更表輸入'!$B$5:$B$39,F$172),Lists!$C$10&gt;=SUMIFS('員工更表輸入'!$D$5:$D$39,'員工更表輸入'!$A$5:$A$39,'設定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Settings'!$A$9,'員工更表輸入'!$B$5:$B$39,F$172)&gt;0,Lists!$C$10&gt;=SUMIFS('員工更表輸入'!$E$5:$E$39,'員工更表輸入'!$A$5:$A$39,'設定 Settings'!$A$9,'員工更表輸入'!$B$5:$B$39,F$172),Lists!$C$10&lt;SUMIFS('員工更表輸入'!$F$5:$F$39,'員工更表輸入'!$A$5:$A$39,'設定 Settings'!$A$9,'員工更表輸入'!$B$5:$B$39,F$172)),"Break","Work"))</f>
        <v/>
      </c>
      <c r="G181" s="24">
        <f>IF(OR(SUMIFS('員工更表輸入'!$D$5:$D$39,'員工更表輸入'!$A$5:$A$39,'設定 Settings'!$A$9,'員工更表輸入'!$B$5:$B$39,G$172)&lt;=0,Lists!$C$10&lt;SUMIFS('員工更表輸入'!$C$5:$C$39,'員工更表輸入'!$A$5:$A$39,'設定 Settings'!$A$9,'員工更表輸入'!$B$5:$B$39,G$172),Lists!$C$10&gt;=SUMIFS('員工更表輸入'!$D$5:$D$39,'員工更表輸入'!$A$5:$A$39,'設定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Settings'!$A$9,'員工更表輸入'!$B$5:$B$39,G$172)&gt;0,Lists!$C$10&gt;=SUMIFS('員工更表輸入'!$E$5:$E$39,'員工更表輸入'!$A$5:$A$39,'設定 Settings'!$A$9,'員工更表輸入'!$B$5:$B$39,G$172),Lists!$C$10&lt;SUMIFS('員工更表輸入'!$F$5:$F$39,'員工更表輸入'!$A$5:$A$39,'設定 Settings'!$A$9,'員工更表輸入'!$B$5:$B$39,G$172)),"Break","Work"))</f>
        <v/>
      </c>
      <c r="H181" s="24">
        <f>IF(OR(SUMIFS('員工更表輸入'!$D$5:$D$39,'員工更表輸入'!$A$5:$A$39,'設定 Settings'!$A$9,'員工更表輸入'!$B$5:$B$39,H$172)&lt;=0,Lists!$C$10&lt;SUMIFS('員工更表輸入'!$C$5:$C$39,'員工更表輸入'!$A$5:$A$39,'設定 Settings'!$A$9,'員工更表輸入'!$B$5:$B$39,H$172),Lists!$C$10&gt;=SUMIFS('員工更表輸入'!$D$5:$D$39,'員工更表輸入'!$A$5:$A$39,'設定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Settings'!$A$9,'員工更表輸入'!$B$5:$B$39,H$172)&gt;0,Lists!$C$10&gt;=SUMIFS('員工更表輸入'!$E$5:$E$39,'員工更表輸入'!$A$5:$A$39,'設定 Settings'!$A$9,'員工更表輸入'!$B$5:$B$39,H$172),Lists!$C$10&lt;SUMIFS('員工更表輸入'!$F$5:$F$39,'員工更表輸入'!$A$5:$A$39,'設定 Settings'!$A$9,'員工更表輸入'!$B$5:$B$39,H$172)),"Break","Work"))</f>
        <v/>
      </c>
    </row>
    <row r="182">
      <c r="A182" s="22" t="inlineStr">
        <is>
          <t>2:15pm-2:45pm</t>
        </is>
      </c>
      <c r="B182" s="24">
        <f>IF(OR(SUMIFS('員工更表輸入'!$D$5:$D$39,'員工更表輸入'!$A$5:$A$39,'設定 Settings'!$A$9,'員工更表輸入'!$B$5:$B$39,B$172)&lt;=0,Lists!$C$11&lt;SUMIFS('員工更表輸入'!$C$5:$C$39,'員工更表輸入'!$A$5:$A$39,'設定 Settings'!$A$9,'員工更表輸入'!$B$5:$B$39,B$172),Lists!$C$11&gt;=SUMIFS('員工更表輸入'!$D$5:$D$39,'員工更表輸入'!$A$5:$A$39,'設定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Settings'!$A$9,'員工更表輸入'!$B$5:$B$39,B$172)&gt;0,Lists!$C$11&gt;=SUMIFS('員工更表輸入'!$E$5:$E$39,'員工更表輸入'!$A$5:$A$39,'設定 Settings'!$A$9,'員工更表輸入'!$B$5:$B$39,B$172),Lists!$C$11&lt;SUMIFS('員工更表輸入'!$F$5:$F$39,'員工更表輸入'!$A$5:$A$39,'設定 Settings'!$A$9,'員工更表輸入'!$B$5:$B$39,B$172)),"Break","Work"))</f>
        <v/>
      </c>
      <c r="C182" s="24">
        <f>IF(OR(SUMIFS('員工更表輸入'!$D$5:$D$39,'員工更表輸入'!$A$5:$A$39,'設定 Settings'!$A$9,'員工更表輸入'!$B$5:$B$39,C$172)&lt;=0,Lists!$C$11&lt;SUMIFS('員工更表輸入'!$C$5:$C$39,'員工更表輸入'!$A$5:$A$39,'設定 Settings'!$A$9,'員工更表輸入'!$B$5:$B$39,C$172),Lists!$C$11&gt;=SUMIFS('員工更表輸入'!$D$5:$D$39,'員工更表輸入'!$A$5:$A$39,'設定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Settings'!$A$9,'員工更表輸入'!$B$5:$B$39,C$172)&gt;0,Lists!$C$11&gt;=SUMIFS('員工更表輸入'!$E$5:$E$39,'員工更表輸入'!$A$5:$A$39,'設定 Settings'!$A$9,'員工更表輸入'!$B$5:$B$39,C$172),Lists!$C$11&lt;SUMIFS('員工更表輸入'!$F$5:$F$39,'員工更表輸入'!$A$5:$A$39,'設定 Settings'!$A$9,'員工更表輸入'!$B$5:$B$39,C$172)),"Break","Work"))</f>
        <v/>
      </c>
      <c r="D182" s="24">
        <f>IF(OR(SUMIFS('員工更表輸入'!$D$5:$D$39,'員工更表輸入'!$A$5:$A$39,'設定 Settings'!$A$9,'員工更表輸入'!$B$5:$B$39,D$172)&lt;=0,Lists!$C$11&lt;SUMIFS('員工更表輸入'!$C$5:$C$39,'員工更表輸入'!$A$5:$A$39,'設定 Settings'!$A$9,'員工更表輸入'!$B$5:$B$39,D$172),Lists!$C$11&gt;=SUMIFS('員工更表輸入'!$D$5:$D$39,'員工更表輸入'!$A$5:$A$39,'設定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Settings'!$A$9,'員工更表輸入'!$B$5:$B$39,D$172)&gt;0,Lists!$C$11&gt;=SUMIFS('員工更表輸入'!$E$5:$E$39,'員工更表輸入'!$A$5:$A$39,'設定 Settings'!$A$9,'員工更表輸入'!$B$5:$B$39,D$172),Lists!$C$11&lt;SUMIFS('員工更表輸入'!$F$5:$F$39,'員工更表輸入'!$A$5:$A$39,'設定 Settings'!$A$9,'員工更表輸入'!$B$5:$B$39,D$172)),"Break","Work"))</f>
        <v/>
      </c>
      <c r="E182" s="24">
        <f>IF(OR(SUMIFS('員工更表輸入'!$D$5:$D$39,'員工更表輸入'!$A$5:$A$39,'設定 Settings'!$A$9,'員工更表輸入'!$B$5:$B$39,E$172)&lt;=0,Lists!$C$11&lt;SUMIFS('員工更表輸入'!$C$5:$C$39,'員工更表輸入'!$A$5:$A$39,'設定 Settings'!$A$9,'員工更表輸入'!$B$5:$B$39,E$172),Lists!$C$11&gt;=SUMIFS('員工更表輸入'!$D$5:$D$39,'員工更表輸入'!$A$5:$A$39,'設定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Settings'!$A$9,'員工更表輸入'!$B$5:$B$39,E$172)&gt;0,Lists!$C$11&gt;=SUMIFS('員工更表輸入'!$E$5:$E$39,'員工更表輸入'!$A$5:$A$39,'設定 Settings'!$A$9,'員工更表輸入'!$B$5:$B$39,E$172),Lists!$C$11&lt;SUMIFS('員工更表輸入'!$F$5:$F$39,'員工更表輸入'!$A$5:$A$39,'設定 Settings'!$A$9,'員工更表輸入'!$B$5:$B$39,E$172)),"Break","Work"))</f>
        <v/>
      </c>
      <c r="F182" s="24">
        <f>IF(OR(SUMIFS('員工更表輸入'!$D$5:$D$39,'員工更表輸入'!$A$5:$A$39,'設定 Settings'!$A$9,'員工更表輸入'!$B$5:$B$39,F$172)&lt;=0,Lists!$C$11&lt;SUMIFS('員工更表輸入'!$C$5:$C$39,'員工更表輸入'!$A$5:$A$39,'設定 Settings'!$A$9,'員工更表輸入'!$B$5:$B$39,F$172),Lists!$C$11&gt;=SUMIFS('員工更表輸入'!$D$5:$D$39,'員工更表輸入'!$A$5:$A$39,'設定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Settings'!$A$9,'員工更表輸入'!$B$5:$B$39,F$172)&gt;0,Lists!$C$11&gt;=SUMIFS('員工更表輸入'!$E$5:$E$39,'員工更表輸入'!$A$5:$A$39,'設定 Settings'!$A$9,'員工更表輸入'!$B$5:$B$39,F$172),Lists!$C$11&lt;SUMIFS('員工更表輸入'!$F$5:$F$39,'員工更表輸入'!$A$5:$A$39,'設定 Settings'!$A$9,'員工更表輸入'!$B$5:$B$39,F$172)),"Break","Work"))</f>
        <v/>
      </c>
      <c r="G182" s="24">
        <f>IF(OR(SUMIFS('員工更表輸入'!$D$5:$D$39,'員工更表輸入'!$A$5:$A$39,'設定 Settings'!$A$9,'員工更表輸入'!$B$5:$B$39,G$172)&lt;=0,Lists!$C$11&lt;SUMIFS('員工更表輸入'!$C$5:$C$39,'員工更表輸入'!$A$5:$A$39,'設定 Settings'!$A$9,'員工更表輸入'!$B$5:$B$39,G$172),Lists!$C$11&gt;=SUMIFS('員工更表輸入'!$D$5:$D$39,'員工更表輸入'!$A$5:$A$39,'設定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Settings'!$A$9,'員工更表輸入'!$B$5:$B$39,G$172)&gt;0,Lists!$C$11&gt;=SUMIFS('員工更表輸入'!$E$5:$E$39,'員工更表輸入'!$A$5:$A$39,'設定 Settings'!$A$9,'員工更表輸入'!$B$5:$B$39,G$172),Lists!$C$11&lt;SUMIFS('員工更表輸入'!$F$5:$F$39,'員工更表輸入'!$A$5:$A$39,'設定 Settings'!$A$9,'員工更表輸入'!$B$5:$B$39,G$172)),"Break","Work"))</f>
        <v/>
      </c>
      <c r="H182" s="24">
        <f>IF(OR(SUMIFS('員工更表輸入'!$D$5:$D$39,'員工更表輸入'!$A$5:$A$39,'設定 Settings'!$A$9,'員工更表輸入'!$B$5:$B$39,H$172)&lt;=0,Lists!$C$11&lt;SUMIFS('員工更表輸入'!$C$5:$C$39,'員工更表輸入'!$A$5:$A$39,'設定 Settings'!$A$9,'員工更表輸入'!$B$5:$B$39,H$172),Lists!$C$11&gt;=SUMIFS('員工更表輸入'!$D$5:$D$39,'員工更表輸入'!$A$5:$A$39,'設定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Settings'!$A$9,'員工更表輸入'!$B$5:$B$39,H$172)&gt;0,Lists!$C$11&gt;=SUMIFS('員工更表輸入'!$E$5:$E$39,'員工更表輸入'!$A$5:$A$39,'設定 Settings'!$A$9,'員工更表輸入'!$B$5:$B$39,H$172),Lists!$C$11&lt;SUMIFS('員工更表輸入'!$F$5:$F$39,'員工更表輸入'!$A$5:$A$39,'設定 Settings'!$A$9,'員工更表輸入'!$B$5:$B$39,H$172)),"Break","Work"))</f>
        <v/>
      </c>
    </row>
    <row r="183">
      <c r="A183" s="22" t="inlineStr">
        <is>
          <t>2:45pm-3:15pm</t>
        </is>
      </c>
      <c r="B183" s="24">
        <f>IF(OR(SUMIFS('員工更表輸入'!$D$5:$D$39,'員工更表輸入'!$A$5:$A$39,'設定 Settings'!$A$9,'員工更表輸入'!$B$5:$B$39,B$172)&lt;=0,Lists!$C$12&lt;SUMIFS('員工更表輸入'!$C$5:$C$39,'員工更表輸入'!$A$5:$A$39,'設定 Settings'!$A$9,'員工更表輸入'!$B$5:$B$39,B$172),Lists!$C$12&gt;=SUMIFS('員工更表輸入'!$D$5:$D$39,'員工更表輸入'!$A$5:$A$39,'設定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Settings'!$A$9,'員工更表輸入'!$B$5:$B$39,B$172)&gt;0,Lists!$C$12&gt;=SUMIFS('員工更表輸入'!$E$5:$E$39,'員工更表輸入'!$A$5:$A$39,'設定 Settings'!$A$9,'員工更表輸入'!$B$5:$B$39,B$172),Lists!$C$12&lt;SUMIFS('員工更表輸入'!$F$5:$F$39,'員工更表輸入'!$A$5:$A$39,'設定 Settings'!$A$9,'員工更表輸入'!$B$5:$B$39,B$172)),"Break","Work"))</f>
        <v/>
      </c>
      <c r="C183" s="24">
        <f>IF(OR(SUMIFS('員工更表輸入'!$D$5:$D$39,'員工更表輸入'!$A$5:$A$39,'設定 Settings'!$A$9,'員工更表輸入'!$B$5:$B$39,C$172)&lt;=0,Lists!$C$12&lt;SUMIFS('員工更表輸入'!$C$5:$C$39,'員工更表輸入'!$A$5:$A$39,'設定 Settings'!$A$9,'員工更表輸入'!$B$5:$B$39,C$172),Lists!$C$12&gt;=SUMIFS('員工更表輸入'!$D$5:$D$39,'員工更表輸入'!$A$5:$A$39,'設定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Settings'!$A$9,'員工更表輸入'!$B$5:$B$39,C$172)&gt;0,Lists!$C$12&gt;=SUMIFS('員工更表輸入'!$E$5:$E$39,'員工更表輸入'!$A$5:$A$39,'設定 Settings'!$A$9,'員工更表輸入'!$B$5:$B$39,C$172),Lists!$C$12&lt;SUMIFS('員工更表輸入'!$F$5:$F$39,'員工更表輸入'!$A$5:$A$39,'設定 Settings'!$A$9,'員工更表輸入'!$B$5:$B$39,C$172)),"Break","Work"))</f>
        <v/>
      </c>
      <c r="D183" s="24">
        <f>IF(OR(SUMIFS('員工更表輸入'!$D$5:$D$39,'員工更表輸入'!$A$5:$A$39,'設定 Settings'!$A$9,'員工更表輸入'!$B$5:$B$39,D$172)&lt;=0,Lists!$C$12&lt;SUMIFS('員工更表輸入'!$C$5:$C$39,'員工更表輸入'!$A$5:$A$39,'設定 Settings'!$A$9,'員工更表輸入'!$B$5:$B$39,D$172),Lists!$C$12&gt;=SUMIFS('員工更表輸入'!$D$5:$D$39,'員工更表輸入'!$A$5:$A$39,'設定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Settings'!$A$9,'員工更表輸入'!$B$5:$B$39,D$172)&gt;0,Lists!$C$12&gt;=SUMIFS('員工更表輸入'!$E$5:$E$39,'員工更表輸入'!$A$5:$A$39,'設定 Settings'!$A$9,'員工更表輸入'!$B$5:$B$39,D$172),Lists!$C$12&lt;SUMIFS('員工更表輸入'!$F$5:$F$39,'員工更表輸入'!$A$5:$A$39,'設定 Settings'!$A$9,'員工更表輸入'!$B$5:$B$39,D$172)),"Break","Work"))</f>
        <v/>
      </c>
      <c r="E183" s="24">
        <f>IF(OR(SUMIFS('員工更表輸入'!$D$5:$D$39,'員工更表輸入'!$A$5:$A$39,'設定 Settings'!$A$9,'員工更表輸入'!$B$5:$B$39,E$172)&lt;=0,Lists!$C$12&lt;SUMIFS('員工更表輸入'!$C$5:$C$39,'員工更表輸入'!$A$5:$A$39,'設定 Settings'!$A$9,'員工更表輸入'!$B$5:$B$39,E$172),Lists!$C$12&gt;=SUMIFS('員工更表輸入'!$D$5:$D$39,'員工更表輸入'!$A$5:$A$39,'設定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Settings'!$A$9,'員工更表輸入'!$B$5:$B$39,E$172)&gt;0,Lists!$C$12&gt;=SUMIFS('員工更表輸入'!$E$5:$E$39,'員工更表輸入'!$A$5:$A$39,'設定 Settings'!$A$9,'員工更表輸入'!$B$5:$B$39,E$172),Lists!$C$12&lt;SUMIFS('員工更表輸入'!$F$5:$F$39,'員工更表輸入'!$A$5:$A$39,'設定 Settings'!$A$9,'員工更表輸入'!$B$5:$B$39,E$172)),"Break","Work"))</f>
        <v/>
      </c>
      <c r="F183" s="24">
        <f>IF(OR(SUMIFS('員工更表輸入'!$D$5:$D$39,'員工更表輸入'!$A$5:$A$39,'設定 Settings'!$A$9,'員工更表輸入'!$B$5:$B$39,F$172)&lt;=0,Lists!$C$12&lt;SUMIFS('員工更表輸入'!$C$5:$C$39,'員工更表輸入'!$A$5:$A$39,'設定 Settings'!$A$9,'員工更表輸入'!$B$5:$B$39,F$172),Lists!$C$12&gt;=SUMIFS('員工更表輸入'!$D$5:$D$39,'員工更表輸入'!$A$5:$A$39,'設定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Settings'!$A$9,'員工更表輸入'!$B$5:$B$39,F$172)&gt;0,Lists!$C$12&gt;=SUMIFS('員工更表輸入'!$E$5:$E$39,'員工更表輸入'!$A$5:$A$39,'設定 Settings'!$A$9,'員工更表輸入'!$B$5:$B$39,F$172),Lists!$C$12&lt;SUMIFS('員工更表輸入'!$F$5:$F$39,'員工更表輸入'!$A$5:$A$39,'設定 Settings'!$A$9,'員工更表輸入'!$B$5:$B$39,F$172)),"Break","Work"))</f>
        <v/>
      </c>
      <c r="G183" s="24">
        <f>IF(OR(SUMIFS('員工更表輸入'!$D$5:$D$39,'員工更表輸入'!$A$5:$A$39,'設定 Settings'!$A$9,'員工更表輸入'!$B$5:$B$39,G$172)&lt;=0,Lists!$C$12&lt;SUMIFS('員工更表輸入'!$C$5:$C$39,'員工更表輸入'!$A$5:$A$39,'設定 Settings'!$A$9,'員工更表輸入'!$B$5:$B$39,G$172),Lists!$C$12&gt;=SUMIFS('員工更表輸入'!$D$5:$D$39,'員工更表輸入'!$A$5:$A$39,'設定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Settings'!$A$9,'員工更表輸入'!$B$5:$B$39,G$172)&gt;0,Lists!$C$12&gt;=SUMIFS('員工更表輸入'!$E$5:$E$39,'員工更表輸入'!$A$5:$A$39,'設定 Settings'!$A$9,'員工更表輸入'!$B$5:$B$39,G$172),Lists!$C$12&lt;SUMIFS('員工更表輸入'!$F$5:$F$39,'員工更表輸入'!$A$5:$A$39,'設定 Settings'!$A$9,'員工更表輸入'!$B$5:$B$39,G$172)),"Break","Work"))</f>
        <v/>
      </c>
      <c r="H183" s="24">
        <f>IF(OR(SUMIFS('員工更表輸入'!$D$5:$D$39,'員工更表輸入'!$A$5:$A$39,'設定 Settings'!$A$9,'員工更表輸入'!$B$5:$B$39,H$172)&lt;=0,Lists!$C$12&lt;SUMIFS('員工更表輸入'!$C$5:$C$39,'員工更表輸入'!$A$5:$A$39,'設定 Settings'!$A$9,'員工更表輸入'!$B$5:$B$39,H$172),Lists!$C$12&gt;=SUMIFS('員工更表輸入'!$D$5:$D$39,'員工更表輸入'!$A$5:$A$39,'設定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Settings'!$A$9,'員工更表輸入'!$B$5:$B$39,H$172)&gt;0,Lists!$C$12&gt;=SUMIFS('員工更表輸入'!$E$5:$E$39,'員工更表輸入'!$A$5:$A$39,'設定 Settings'!$A$9,'員工更表輸入'!$B$5:$B$39,H$172),Lists!$C$12&lt;SUMIFS('員工更表輸入'!$F$5:$F$39,'員工更表輸入'!$A$5:$A$39,'設定 Settings'!$A$9,'員工更表輸入'!$B$5:$B$39,H$172)),"Break","Work"))</f>
        <v/>
      </c>
    </row>
    <row r="184">
      <c r="A184" s="22" t="inlineStr">
        <is>
          <t>3:15pm-3:45pm</t>
        </is>
      </c>
      <c r="B184" s="24">
        <f>IF(OR(SUMIFS('員工更表輸入'!$D$5:$D$39,'員工更表輸入'!$A$5:$A$39,'設定 Settings'!$A$9,'員工更表輸入'!$B$5:$B$39,B$172)&lt;=0,Lists!$C$13&lt;SUMIFS('員工更表輸入'!$C$5:$C$39,'員工更表輸入'!$A$5:$A$39,'設定 Settings'!$A$9,'員工更表輸入'!$B$5:$B$39,B$172),Lists!$C$13&gt;=SUMIFS('員工更表輸入'!$D$5:$D$39,'員工更表輸入'!$A$5:$A$39,'設定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Settings'!$A$9,'員工更表輸入'!$B$5:$B$39,B$172)&gt;0,Lists!$C$13&gt;=SUMIFS('員工更表輸入'!$E$5:$E$39,'員工更表輸入'!$A$5:$A$39,'設定 Settings'!$A$9,'員工更表輸入'!$B$5:$B$39,B$172),Lists!$C$13&lt;SUMIFS('員工更表輸入'!$F$5:$F$39,'員工更表輸入'!$A$5:$A$39,'設定 Settings'!$A$9,'員工更表輸入'!$B$5:$B$39,B$172)),"Break","Work"))</f>
        <v/>
      </c>
      <c r="C184" s="24">
        <f>IF(OR(SUMIFS('員工更表輸入'!$D$5:$D$39,'員工更表輸入'!$A$5:$A$39,'設定 Settings'!$A$9,'員工更表輸入'!$B$5:$B$39,C$172)&lt;=0,Lists!$C$13&lt;SUMIFS('員工更表輸入'!$C$5:$C$39,'員工更表輸入'!$A$5:$A$39,'設定 Settings'!$A$9,'員工更表輸入'!$B$5:$B$39,C$172),Lists!$C$13&gt;=SUMIFS('員工更表輸入'!$D$5:$D$39,'員工更表輸入'!$A$5:$A$39,'設定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Settings'!$A$9,'員工更表輸入'!$B$5:$B$39,C$172)&gt;0,Lists!$C$13&gt;=SUMIFS('員工更表輸入'!$E$5:$E$39,'員工更表輸入'!$A$5:$A$39,'設定 Settings'!$A$9,'員工更表輸入'!$B$5:$B$39,C$172),Lists!$C$13&lt;SUMIFS('員工更表輸入'!$F$5:$F$39,'員工更表輸入'!$A$5:$A$39,'設定 Settings'!$A$9,'員工更表輸入'!$B$5:$B$39,C$172)),"Break","Work"))</f>
        <v/>
      </c>
      <c r="D184" s="24">
        <f>IF(OR(SUMIFS('員工更表輸入'!$D$5:$D$39,'員工更表輸入'!$A$5:$A$39,'設定 Settings'!$A$9,'員工更表輸入'!$B$5:$B$39,D$172)&lt;=0,Lists!$C$13&lt;SUMIFS('員工更表輸入'!$C$5:$C$39,'員工更表輸入'!$A$5:$A$39,'設定 Settings'!$A$9,'員工更表輸入'!$B$5:$B$39,D$172),Lists!$C$13&gt;=SUMIFS('員工更表輸入'!$D$5:$D$39,'員工更表輸入'!$A$5:$A$39,'設定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Settings'!$A$9,'員工更表輸入'!$B$5:$B$39,D$172)&gt;0,Lists!$C$13&gt;=SUMIFS('員工更表輸入'!$E$5:$E$39,'員工更表輸入'!$A$5:$A$39,'設定 Settings'!$A$9,'員工更表輸入'!$B$5:$B$39,D$172),Lists!$C$13&lt;SUMIFS('員工更表輸入'!$F$5:$F$39,'員工更表輸入'!$A$5:$A$39,'設定 Settings'!$A$9,'員工更表輸入'!$B$5:$B$39,D$172)),"Break","Work"))</f>
        <v/>
      </c>
      <c r="E184" s="24">
        <f>IF(OR(SUMIFS('員工更表輸入'!$D$5:$D$39,'員工更表輸入'!$A$5:$A$39,'設定 Settings'!$A$9,'員工更表輸入'!$B$5:$B$39,E$172)&lt;=0,Lists!$C$13&lt;SUMIFS('員工更表輸入'!$C$5:$C$39,'員工更表輸入'!$A$5:$A$39,'設定 Settings'!$A$9,'員工更表輸入'!$B$5:$B$39,E$172),Lists!$C$13&gt;=SUMIFS('員工更表輸入'!$D$5:$D$39,'員工更表輸入'!$A$5:$A$39,'設定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Settings'!$A$9,'員工更表輸入'!$B$5:$B$39,E$172)&gt;0,Lists!$C$13&gt;=SUMIFS('員工更表輸入'!$E$5:$E$39,'員工更表輸入'!$A$5:$A$39,'設定 Settings'!$A$9,'員工更表輸入'!$B$5:$B$39,E$172),Lists!$C$13&lt;SUMIFS('員工更表輸入'!$F$5:$F$39,'員工更表輸入'!$A$5:$A$39,'設定 Settings'!$A$9,'員工更表輸入'!$B$5:$B$39,E$172)),"Break","Work"))</f>
        <v/>
      </c>
      <c r="F184" s="24">
        <f>IF(OR(SUMIFS('員工更表輸入'!$D$5:$D$39,'員工更表輸入'!$A$5:$A$39,'設定 Settings'!$A$9,'員工更表輸入'!$B$5:$B$39,F$172)&lt;=0,Lists!$C$13&lt;SUMIFS('員工更表輸入'!$C$5:$C$39,'員工更表輸入'!$A$5:$A$39,'設定 Settings'!$A$9,'員工更表輸入'!$B$5:$B$39,F$172),Lists!$C$13&gt;=SUMIFS('員工更表輸入'!$D$5:$D$39,'員工更表輸入'!$A$5:$A$39,'設定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Settings'!$A$9,'員工更表輸入'!$B$5:$B$39,F$172)&gt;0,Lists!$C$13&gt;=SUMIFS('員工更表輸入'!$E$5:$E$39,'員工更表輸入'!$A$5:$A$39,'設定 Settings'!$A$9,'員工更表輸入'!$B$5:$B$39,F$172),Lists!$C$13&lt;SUMIFS('員工更表輸入'!$F$5:$F$39,'員工更表輸入'!$A$5:$A$39,'設定 Settings'!$A$9,'員工更表輸入'!$B$5:$B$39,F$172)),"Break","Work"))</f>
        <v/>
      </c>
      <c r="G184" s="24">
        <f>IF(OR(SUMIFS('員工更表輸入'!$D$5:$D$39,'員工更表輸入'!$A$5:$A$39,'設定 Settings'!$A$9,'員工更表輸入'!$B$5:$B$39,G$172)&lt;=0,Lists!$C$13&lt;SUMIFS('員工更表輸入'!$C$5:$C$39,'員工更表輸入'!$A$5:$A$39,'設定 Settings'!$A$9,'員工更表輸入'!$B$5:$B$39,G$172),Lists!$C$13&gt;=SUMIFS('員工更表輸入'!$D$5:$D$39,'員工更表輸入'!$A$5:$A$39,'設定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Settings'!$A$9,'員工更表輸入'!$B$5:$B$39,G$172)&gt;0,Lists!$C$13&gt;=SUMIFS('員工更表輸入'!$E$5:$E$39,'員工更表輸入'!$A$5:$A$39,'設定 Settings'!$A$9,'員工更表輸入'!$B$5:$B$39,G$172),Lists!$C$13&lt;SUMIFS('員工更表輸入'!$F$5:$F$39,'員工更表輸入'!$A$5:$A$39,'設定 Settings'!$A$9,'員工更表輸入'!$B$5:$B$39,G$172)),"Break","Work"))</f>
        <v/>
      </c>
      <c r="H184" s="24">
        <f>IF(OR(SUMIFS('員工更表輸入'!$D$5:$D$39,'員工更表輸入'!$A$5:$A$39,'設定 Settings'!$A$9,'員工更表輸入'!$B$5:$B$39,H$172)&lt;=0,Lists!$C$13&lt;SUMIFS('員工更表輸入'!$C$5:$C$39,'員工更表輸入'!$A$5:$A$39,'設定 Settings'!$A$9,'員工更表輸入'!$B$5:$B$39,H$172),Lists!$C$13&gt;=SUMIFS('員工更表輸入'!$D$5:$D$39,'員工更表輸入'!$A$5:$A$39,'設定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Settings'!$A$9,'員工更表輸入'!$B$5:$B$39,H$172)&gt;0,Lists!$C$13&gt;=SUMIFS('員工更表輸入'!$E$5:$E$39,'員工更表輸入'!$A$5:$A$39,'設定 Settings'!$A$9,'員工更表輸入'!$B$5:$B$39,H$172),Lists!$C$13&lt;SUMIFS('員工更表輸入'!$F$5:$F$39,'員工更表輸入'!$A$5:$A$39,'設定 Settings'!$A$9,'員工更表輸入'!$B$5:$B$39,H$172)),"Break","Work"))</f>
        <v/>
      </c>
    </row>
    <row r="185">
      <c r="A185" s="22" t="inlineStr">
        <is>
          <t>3:45pm-4:15pm</t>
        </is>
      </c>
      <c r="B185" s="24">
        <f>IF(OR(SUMIFS('員工更表輸入'!$D$5:$D$39,'員工更表輸入'!$A$5:$A$39,'設定 Settings'!$A$9,'員工更表輸入'!$B$5:$B$39,B$172)&lt;=0,Lists!$C$14&lt;SUMIFS('員工更表輸入'!$C$5:$C$39,'員工更表輸入'!$A$5:$A$39,'設定 Settings'!$A$9,'員工更表輸入'!$B$5:$B$39,B$172),Lists!$C$14&gt;=SUMIFS('員工更表輸入'!$D$5:$D$39,'員工更表輸入'!$A$5:$A$39,'設定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Settings'!$A$9,'員工更表輸入'!$B$5:$B$39,B$172)&gt;0,Lists!$C$14&gt;=SUMIFS('員工更表輸入'!$E$5:$E$39,'員工更表輸入'!$A$5:$A$39,'設定 Settings'!$A$9,'員工更表輸入'!$B$5:$B$39,B$172),Lists!$C$14&lt;SUMIFS('員工更表輸入'!$F$5:$F$39,'員工更表輸入'!$A$5:$A$39,'設定 Settings'!$A$9,'員工更表輸入'!$B$5:$B$39,B$172)),"Break","Work"))</f>
        <v/>
      </c>
      <c r="C185" s="24">
        <f>IF(OR(SUMIFS('員工更表輸入'!$D$5:$D$39,'員工更表輸入'!$A$5:$A$39,'設定 Settings'!$A$9,'員工更表輸入'!$B$5:$B$39,C$172)&lt;=0,Lists!$C$14&lt;SUMIFS('員工更表輸入'!$C$5:$C$39,'員工更表輸入'!$A$5:$A$39,'設定 Settings'!$A$9,'員工更表輸入'!$B$5:$B$39,C$172),Lists!$C$14&gt;=SUMIFS('員工更表輸入'!$D$5:$D$39,'員工更表輸入'!$A$5:$A$39,'設定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Settings'!$A$9,'員工更表輸入'!$B$5:$B$39,C$172)&gt;0,Lists!$C$14&gt;=SUMIFS('員工更表輸入'!$E$5:$E$39,'員工更表輸入'!$A$5:$A$39,'設定 Settings'!$A$9,'員工更表輸入'!$B$5:$B$39,C$172),Lists!$C$14&lt;SUMIFS('員工更表輸入'!$F$5:$F$39,'員工更表輸入'!$A$5:$A$39,'設定 Settings'!$A$9,'員工更表輸入'!$B$5:$B$39,C$172)),"Break","Work"))</f>
        <v/>
      </c>
      <c r="D185" s="24">
        <f>IF(OR(SUMIFS('員工更表輸入'!$D$5:$D$39,'員工更表輸入'!$A$5:$A$39,'設定 Settings'!$A$9,'員工更表輸入'!$B$5:$B$39,D$172)&lt;=0,Lists!$C$14&lt;SUMIFS('員工更表輸入'!$C$5:$C$39,'員工更表輸入'!$A$5:$A$39,'設定 Settings'!$A$9,'員工更表輸入'!$B$5:$B$39,D$172),Lists!$C$14&gt;=SUMIFS('員工更表輸入'!$D$5:$D$39,'員工更表輸入'!$A$5:$A$39,'設定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Settings'!$A$9,'員工更表輸入'!$B$5:$B$39,D$172)&gt;0,Lists!$C$14&gt;=SUMIFS('員工更表輸入'!$E$5:$E$39,'員工更表輸入'!$A$5:$A$39,'設定 Settings'!$A$9,'員工更表輸入'!$B$5:$B$39,D$172),Lists!$C$14&lt;SUMIFS('員工更表輸入'!$F$5:$F$39,'員工更表輸入'!$A$5:$A$39,'設定 Settings'!$A$9,'員工更表輸入'!$B$5:$B$39,D$172)),"Break","Work"))</f>
        <v/>
      </c>
      <c r="E185" s="24">
        <f>IF(OR(SUMIFS('員工更表輸入'!$D$5:$D$39,'員工更表輸入'!$A$5:$A$39,'設定 Settings'!$A$9,'員工更表輸入'!$B$5:$B$39,E$172)&lt;=0,Lists!$C$14&lt;SUMIFS('員工更表輸入'!$C$5:$C$39,'員工更表輸入'!$A$5:$A$39,'設定 Settings'!$A$9,'員工更表輸入'!$B$5:$B$39,E$172),Lists!$C$14&gt;=SUMIFS('員工更表輸入'!$D$5:$D$39,'員工更表輸入'!$A$5:$A$39,'設定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Settings'!$A$9,'員工更表輸入'!$B$5:$B$39,E$172)&gt;0,Lists!$C$14&gt;=SUMIFS('員工更表輸入'!$E$5:$E$39,'員工更表輸入'!$A$5:$A$39,'設定 Settings'!$A$9,'員工更表輸入'!$B$5:$B$39,E$172),Lists!$C$14&lt;SUMIFS('員工更表輸入'!$F$5:$F$39,'員工更表輸入'!$A$5:$A$39,'設定 Settings'!$A$9,'員工更表輸入'!$B$5:$B$39,E$172)),"Break","Work"))</f>
        <v/>
      </c>
      <c r="F185" s="24">
        <f>IF(OR(SUMIFS('員工更表輸入'!$D$5:$D$39,'員工更表輸入'!$A$5:$A$39,'設定 Settings'!$A$9,'員工更表輸入'!$B$5:$B$39,F$172)&lt;=0,Lists!$C$14&lt;SUMIFS('員工更表輸入'!$C$5:$C$39,'員工更表輸入'!$A$5:$A$39,'設定 Settings'!$A$9,'員工更表輸入'!$B$5:$B$39,F$172),Lists!$C$14&gt;=SUMIFS('員工更表輸入'!$D$5:$D$39,'員工更表輸入'!$A$5:$A$39,'設定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Settings'!$A$9,'員工更表輸入'!$B$5:$B$39,F$172)&gt;0,Lists!$C$14&gt;=SUMIFS('員工更表輸入'!$E$5:$E$39,'員工更表輸入'!$A$5:$A$39,'設定 Settings'!$A$9,'員工更表輸入'!$B$5:$B$39,F$172),Lists!$C$14&lt;SUMIFS('員工更表輸入'!$F$5:$F$39,'員工更表輸入'!$A$5:$A$39,'設定 Settings'!$A$9,'員工更表輸入'!$B$5:$B$39,F$172)),"Break","Work"))</f>
        <v/>
      </c>
      <c r="G185" s="24">
        <f>IF(OR(SUMIFS('員工更表輸入'!$D$5:$D$39,'員工更表輸入'!$A$5:$A$39,'設定 Settings'!$A$9,'員工更表輸入'!$B$5:$B$39,G$172)&lt;=0,Lists!$C$14&lt;SUMIFS('員工更表輸入'!$C$5:$C$39,'員工更表輸入'!$A$5:$A$39,'設定 Settings'!$A$9,'員工更表輸入'!$B$5:$B$39,G$172),Lists!$C$14&gt;=SUMIFS('員工更表輸入'!$D$5:$D$39,'員工更表輸入'!$A$5:$A$39,'設定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Settings'!$A$9,'員工更表輸入'!$B$5:$B$39,G$172)&gt;0,Lists!$C$14&gt;=SUMIFS('員工更表輸入'!$E$5:$E$39,'員工更表輸入'!$A$5:$A$39,'設定 Settings'!$A$9,'員工更表輸入'!$B$5:$B$39,G$172),Lists!$C$14&lt;SUMIFS('員工更表輸入'!$F$5:$F$39,'員工更表輸入'!$A$5:$A$39,'設定 Settings'!$A$9,'員工更表輸入'!$B$5:$B$39,G$172)),"Break","Work"))</f>
        <v/>
      </c>
      <c r="H185" s="24">
        <f>IF(OR(SUMIFS('員工更表輸入'!$D$5:$D$39,'員工更表輸入'!$A$5:$A$39,'設定 Settings'!$A$9,'員工更表輸入'!$B$5:$B$39,H$172)&lt;=0,Lists!$C$14&lt;SUMIFS('員工更表輸入'!$C$5:$C$39,'員工更表輸入'!$A$5:$A$39,'設定 Settings'!$A$9,'員工更表輸入'!$B$5:$B$39,H$172),Lists!$C$14&gt;=SUMIFS('員工更表輸入'!$D$5:$D$39,'員工更表輸入'!$A$5:$A$39,'設定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Settings'!$A$9,'員工更表輸入'!$B$5:$B$39,H$172)&gt;0,Lists!$C$14&gt;=SUMIFS('員工更表輸入'!$E$5:$E$39,'員工更表輸入'!$A$5:$A$39,'設定 Settings'!$A$9,'員工更表輸入'!$B$5:$B$39,H$172),Lists!$C$14&lt;SUMIFS('員工更表輸入'!$F$5:$F$39,'員工更表輸入'!$A$5:$A$39,'設定 Settings'!$A$9,'員工更表輸入'!$B$5:$B$39,H$172)),"Break","Work"))</f>
        <v/>
      </c>
    </row>
    <row r="186">
      <c r="A186" s="22" t="inlineStr">
        <is>
          <t>4:15pm-4:45pm</t>
        </is>
      </c>
      <c r="B186" s="24">
        <f>IF(OR(SUMIFS('員工更表輸入'!$D$5:$D$39,'員工更表輸入'!$A$5:$A$39,'設定 Settings'!$A$9,'員工更表輸入'!$B$5:$B$39,B$172)&lt;=0,Lists!$C$15&lt;SUMIFS('員工更表輸入'!$C$5:$C$39,'員工更表輸入'!$A$5:$A$39,'設定 Settings'!$A$9,'員工更表輸入'!$B$5:$B$39,B$172),Lists!$C$15&gt;=SUMIFS('員工更表輸入'!$D$5:$D$39,'員工更表輸入'!$A$5:$A$39,'設定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Settings'!$A$9,'員工更表輸入'!$B$5:$B$39,B$172)&gt;0,Lists!$C$15&gt;=SUMIFS('員工更表輸入'!$E$5:$E$39,'員工更表輸入'!$A$5:$A$39,'設定 Settings'!$A$9,'員工更表輸入'!$B$5:$B$39,B$172),Lists!$C$15&lt;SUMIFS('員工更表輸入'!$F$5:$F$39,'員工更表輸入'!$A$5:$A$39,'設定 Settings'!$A$9,'員工更表輸入'!$B$5:$B$39,B$172)),"Break","Work"))</f>
        <v/>
      </c>
      <c r="C186" s="24">
        <f>IF(OR(SUMIFS('員工更表輸入'!$D$5:$D$39,'員工更表輸入'!$A$5:$A$39,'設定 Settings'!$A$9,'員工更表輸入'!$B$5:$B$39,C$172)&lt;=0,Lists!$C$15&lt;SUMIFS('員工更表輸入'!$C$5:$C$39,'員工更表輸入'!$A$5:$A$39,'設定 Settings'!$A$9,'員工更表輸入'!$B$5:$B$39,C$172),Lists!$C$15&gt;=SUMIFS('員工更表輸入'!$D$5:$D$39,'員工更表輸入'!$A$5:$A$39,'設定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Settings'!$A$9,'員工更表輸入'!$B$5:$B$39,C$172)&gt;0,Lists!$C$15&gt;=SUMIFS('員工更表輸入'!$E$5:$E$39,'員工更表輸入'!$A$5:$A$39,'設定 Settings'!$A$9,'員工更表輸入'!$B$5:$B$39,C$172),Lists!$C$15&lt;SUMIFS('員工更表輸入'!$F$5:$F$39,'員工更表輸入'!$A$5:$A$39,'設定 Settings'!$A$9,'員工更表輸入'!$B$5:$B$39,C$172)),"Break","Work"))</f>
        <v/>
      </c>
      <c r="D186" s="24">
        <f>IF(OR(SUMIFS('員工更表輸入'!$D$5:$D$39,'員工更表輸入'!$A$5:$A$39,'設定 Settings'!$A$9,'員工更表輸入'!$B$5:$B$39,D$172)&lt;=0,Lists!$C$15&lt;SUMIFS('員工更表輸入'!$C$5:$C$39,'員工更表輸入'!$A$5:$A$39,'設定 Settings'!$A$9,'員工更表輸入'!$B$5:$B$39,D$172),Lists!$C$15&gt;=SUMIFS('員工更表輸入'!$D$5:$D$39,'員工更表輸入'!$A$5:$A$39,'設定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Settings'!$A$9,'員工更表輸入'!$B$5:$B$39,D$172)&gt;0,Lists!$C$15&gt;=SUMIFS('員工更表輸入'!$E$5:$E$39,'員工更表輸入'!$A$5:$A$39,'設定 Settings'!$A$9,'員工更表輸入'!$B$5:$B$39,D$172),Lists!$C$15&lt;SUMIFS('員工更表輸入'!$F$5:$F$39,'員工更表輸入'!$A$5:$A$39,'設定 Settings'!$A$9,'員工更表輸入'!$B$5:$B$39,D$172)),"Break","Work"))</f>
        <v/>
      </c>
      <c r="E186" s="24">
        <f>IF(OR(SUMIFS('員工更表輸入'!$D$5:$D$39,'員工更表輸入'!$A$5:$A$39,'設定 Settings'!$A$9,'員工更表輸入'!$B$5:$B$39,E$172)&lt;=0,Lists!$C$15&lt;SUMIFS('員工更表輸入'!$C$5:$C$39,'員工更表輸入'!$A$5:$A$39,'設定 Settings'!$A$9,'員工更表輸入'!$B$5:$B$39,E$172),Lists!$C$15&gt;=SUMIFS('員工更表輸入'!$D$5:$D$39,'員工更表輸入'!$A$5:$A$39,'設定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Settings'!$A$9,'員工更表輸入'!$B$5:$B$39,E$172)&gt;0,Lists!$C$15&gt;=SUMIFS('員工更表輸入'!$E$5:$E$39,'員工更表輸入'!$A$5:$A$39,'設定 Settings'!$A$9,'員工更表輸入'!$B$5:$B$39,E$172),Lists!$C$15&lt;SUMIFS('員工更表輸入'!$F$5:$F$39,'員工更表輸入'!$A$5:$A$39,'設定 Settings'!$A$9,'員工更表輸入'!$B$5:$B$39,E$172)),"Break","Work"))</f>
        <v/>
      </c>
      <c r="F186" s="24">
        <f>IF(OR(SUMIFS('員工更表輸入'!$D$5:$D$39,'員工更表輸入'!$A$5:$A$39,'設定 Settings'!$A$9,'員工更表輸入'!$B$5:$B$39,F$172)&lt;=0,Lists!$C$15&lt;SUMIFS('員工更表輸入'!$C$5:$C$39,'員工更表輸入'!$A$5:$A$39,'設定 Settings'!$A$9,'員工更表輸入'!$B$5:$B$39,F$172),Lists!$C$15&gt;=SUMIFS('員工更表輸入'!$D$5:$D$39,'員工更表輸入'!$A$5:$A$39,'設定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Settings'!$A$9,'員工更表輸入'!$B$5:$B$39,F$172)&gt;0,Lists!$C$15&gt;=SUMIFS('員工更表輸入'!$E$5:$E$39,'員工更表輸入'!$A$5:$A$39,'設定 Settings'!$A$9,'員工更表輸入'!$B$5:$B$39,F$172),Lists!$C$15&lt;SUMIFS('員工更表輸入'!$F$5:$F$39,'員工更表輸入'!$A$5:$A$39,'設定 Settings'!$A$9,'員工更表輸入'!$B$5:$B$39,F$172)),"Break","Work"))</f>
        <v/>
      </c>
      <c r="G186" s="24">
        <f>IF(OR(SUMIFS('員工更表輸入'!$D$5:$D$39,'員工更表輸入'!$A$5:$A$39,'設定 Settings'!$A$9,'員工更表輸入'!$B$5:$B$39,G$172)&lt;=0,Lists!$C$15&lt;SUMIFS('員工更表輸入'!$C$5:$C$39,'員工更表輸入'!$A$5:$A$39,'設定 Settings'!$A$9,'員工更表輸入'!$B$5:$B$39,G$172),Lists!$C$15&gt;=SUMIFS('員工更表輸入'!$D$5:$D$39,'員工更表輸入'!$A$5:$A$39,'設定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Settings'!$A$9,'員工更表輸入'!$B$5:$B$39,G$172)&gt;0,Lists!$C$15&gt;=SUMIFS('員工更表輸入'!$E$5:$E$39,'員工更表輸入'!$A$5:$A$39,'設定 Settings'!$A$9,'員工更表輸入'!$B$5:$B$39,G$172),Lists!$C$15&lt;SUMIFS('員工更表輸入'!$F$5:$F$39,'員工更表輸入'!$A$5:$A$39,'設定 Settings'!$A$9,'員工更表輸入'!$B$5:$B$39,G$172)),"Break","Work"))</f>
        <v/>
      </c>
      <c r="H186" s="24">
        <f>IF(OR(SUMIFS('員工更表輸入'!$D$5:$D$39,'員工更表輸入'!$A$5:$A$39,'設定 Settings'!$A$9,'員工更表輸入'!$B$5:$B$39,H$172)&lt;=0,Lists!$C$15&lt;SUMIFS('員工更表輸入'!$C$5:$C$39,'員工更表輸入'!$A$5:$A$39,'設定 Settings'!$A$9,'員工更表輸入'!$B$5:$B$39,H$172),Lists!$C$15&gt;=SUMIFS('員工更表輸入'!$D$5:$D$39,'員工更表輸入'!$A$5:$A$39,'設定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Settings'!$A$9,'員工更表輸入'!$B$5:$B$39,H$172)&gt;0,Lists!$C$15&gt;=SUMIFS('員工更表輸入'!$E$5:$E$39,'員工更表輸入'!$A$5:$A$39,'設定 Settings'!$A$9,'員工更表輸入'!$B$5:$B$39,H$172),Lists!$C$15&lt;SUMIFS('員工更表輸入'!$F$5:$F$39,'員工更表輸入'!$A$5:$A$39,'設定 Settings'!$A$9,'員工更表輸入'!$B$5:$B$39,H$172)),"Break","Work"))</f>
        <v/>
      </c>
    </row>
    <row r="187">
      <c r="A187" s="22" t="inlineStr">
        <is>
          <t>4:45pm-5:15pm</t>
        </is>
      </c>
      <c r="B187" s="24">
        <f>IF(OR(SUMIFS('員工更表輸入'!$D$5:$D$39,'員工更表輸入'!$A$5:$A$39,'設定 Settings'!$A$9,'員工更表輸入'!$B$5:$B$39,B$172)&lt;=0,Lists!$C$16&lt;SUMIFS('員工更表輸入'!$C$5:$C$39,'員工更表輸入'!$A$5:$A$39,'設定 Settings'!$A$9,'員工更表輸入'!$B$5:$B$39,B$172),Lists!$C$16&gt;=SUMIFS('員工更表輸入'!$D$5:$D$39,'員工更表輸入'!$A$5:$A$39,'設定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Settings'!$A$9,'員工更表輸入'!$B$5:$B$39,B$172)&gt;0,Lists!$C$16&gt;=SUMIFS('員工更表輸入'!$E$5:$E$39,'員工更表輸入'!$A$5:$A$39,'設定 Settings'!$A$9,'員工更表輸入'!$B$5:$B$39,B$172),Lists!$C$16&lt;SUMIFS('員工更表輸入'!$F$5:$F$39,'員工更表輸入'!$A$5:$A$39,'設定 Settings'!$A$9,'員工更表輸入'!$B$5:$B$39,B$172)),"Break","Work"))</f>
        <v/>
      </c>
      <c r="C187" s="24">
        <f>IF(OR(SUMIFS('員工更表輸入'!$D$5:$D$39,'員工更表輸入'!$A$5:$A$39,'設定 Settings'!$A$9,'員工更表輸入'!$B$5:$B$39,C$172)&lt;=0,Lists!$C$16&lt;SUMIFS('員工更表輸入'!$C$5:$C$39,'員工更表輸入'!$A$5:$A$39,'設定 Settings'!$A$9,'員工更表輸入'!$B$5:$B$39,C$172),Lists!$C$16&gt;=SUMIFS('員工更表輸入'!$D$5:$D$39,'員工更表輸入'!$A$5:$A$39,'設定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Settings'!$A$9,'員工更表輸入'!$B$5:$B$39,C$172)&gt;0,Lists!$C$16&gt;=SUMIFS('員工更表輸入'!$E$5:$E$39,'員工更表輸入'!$A$5:$A$39,'設定 Settings'!$A$9,'員工更表輸入'!$B$5:$B$39,C$172),Lists!$C$16&lt;SUMIFS('員工更表輸入'!$F$5:$F$39,'員工更表輸入'!$A$5:$A$39,'設定 Settings'!$A$9,'員工更表輸入'!$B$5:$B$39,C$172)),"Break","Work"))</f>
        <v/>
      </c>
      <c r="D187" s="24">
        <f>IF(OR(SUMIFS('員工更表輸入'!$D$5:$D$39,'員工更表輸入'!$A$5:$A$39,'設定 Settings'!$A$9,'員工更表輸入'!$B$5:$B$39,D$172)&lt;=0,Lists!$C$16&lt;SUMIFS('員工更表輸入'!$C$5:$C$39,'員工更表輸入'!$A$5:$A$39,'設定 Settings'!$A$9,'員工更表輸入'!$B$5:$B$39,D$172),Lists!$C$16&gt;=SUMIFS('員工更表輸入'!$D$5:$D$39,'員工更表輸入'!$A$5:$A$39,'設定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Settings'!$A$9,'員工更表輸入'!$B$5:$B$39,D$172)&gt;0,Lists!$C$16&gt;=SUMIFS('員工更表輸入'!$E$5:$E$39,'員工更表輸入'!$A$5:$A$39,'設定 Settings'!$A$9,'員工更表輸入'!$B$5:$B$39,D$172),Lists!$C$16&lt;SUMIFS('員工更表輸入'!$F$5:$F$39,'員工更表輸入'!$A$5:$A$39,'設定 Settings'!$A$9,'員工更表輸入'!$B$5:$B$39,D$172)),"Break","Work"))</f>
        <v/>
      </c>
      <c r="E187" s="24">
        <f>IF(OR(SUMIFS('員工更表輸入'!$D$5:$D$39,'員工更表輸入'!$A$5:$A$39,'設定 Settings'!$A$9,'員工更表輸入'!$B$5:$B$39,E$172)&lt;=0,Lists!$C$16&lt;SUMIFS('員工更表輸入'!$C$5:$C$39,'員工更表輸入'!$A$5:$A$39,'設定 Settings'!$A$9,'員工更表輸入'!$B$5:$B$39,E$172),Lists!$C$16&gt;=SUMIFS('員工更表輸入'!$D$5:$D$39,'員工更表輸入'!$A$5:$A$39,'設定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Settings'!$A$9,'員工更表輸入'!$B$5:$B$39,E$172)&gt;0,Lists!$C$16&gt;=SUMIFS('員工更表輸入'!$E$5:$E$39,'員工更表輸入'!$A$5:$A$39,'設定 Settings'!$A$9,'員工更表輸入'!$B$5:$B$39,E$172),Lists!$C$16&lt;SUMIFS('員工更表輸入'!$F$5:$F$39,'員工更表輸入'!$A$5:$A$39,'設定 Settings'!$A$9,'員工更表輸入'!$B$5:$B$39,E$172)),"Break","Work"))</f>
        <v/>
      </c>
      <c r="F187" s="24">
        <f>IF(OR(SUMIFS('員工更表輸入'!$D$5:$D$39,'員工更表輸入'!$A$5:$A$39,'設定 Settings'!$A$9,'員工更表輸入'!$B$5:$B$39,F$172)&lt;=0,Lists!$C$16&lt;SUMIFS('員工更表輸入'!$C$5:$C$39,'員工更表輸入'!$A$5:$A$39,'設定 Settings'!$A$9,'員工更表輸入'!$B$5:$B$39,F$172),Lists!$C$16&gt;=SUMIFS('員工更表輸入'!$D$5:$D$39,'員工更表輸入'!$A$5:$A$39,'設定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Settings'!$A$9,'員工更表輸入'!$B$5:$B$39,F$172)&gt;0,Lists!$C$16&gt;=SUMIFS('員工更表輸入'!$E$5:$E$39,'員工更表輸入'!$A$5:$A$39,'設定 Settings'!$A$9,'員工更表輸入'!$B$5:$B$39,F$172),Lists!$C$16&lt;SUMIFS('員工更表輸入'!$F$5:$F$39,'員工更表輸入'!$A$5:$A$39,'設定 Settings'!$A$9,'員工更表輸入'!$B$5:$B$39,F$172)),"Break","Work"))</f>
        <v/>
      </c>
      <c r="G187" s="24">
        <f>IF(OR(SUMIFS('員工更表輸入'!$D$5:$D$39,'員工更表輸入'!$A$5:$A$39,'設定 Settings'!$A$9,'員工更表輸入'!$B$5:$B$39,G$172)&lt;=0,Lists!$C$16&lt;SUMIFS('員工更表輸入'!$C$5:$C$39,'員工更表輸入'!$A$5:$A$39,'設定 Settings'!$A$9,'員工更表輸入'!$B$5:$B$39,G$172),Lists!$C$16&gt;=SUMIFS('員工更表輸入'!$D$5:$D$39,'員工更表輸入'!$A$5:$A$39,'設定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Settings'!$A$9,'員工更表輸入'!$B$5:$B$39,G$172)&gt;0,Lists!$C$16&gt;=SUMIFS('員工更表輸入'!$E$5:$E$39,'員工更表輸入'!$A$5:$A$39,'設定 Settings'!$A$9,'員工更表輸入'!$B$5:$B$39,G$172),Lists!$C$16&lt;SUMIFS('員工更表輸入'!$F$5:$F$39,'員工更表輸入'!$A$5:$A$39,'設定 Settings'!$A$9,'員工更表輸入'!$B$5:$B$39,G$172)),"Break","Work"))</f>
        <v/>
      </c>
      <c r="H187" s="24">
        <f>IF(OR(SUMIFS('員工更表輸入'!$D$5:$D$39,'員工更表輸入'!$A$5:$A$39,'設定 Settings'!$A$9,'員工更表輸入'!$B$5:$B$39,H$172)&lt;=0,Lists!$C$16&lt;SUMIFS('員工更表輸入'!$C$5:$C$39,'員工更表輸入'!$A$5:$A$39,'設定 Settings'!$A$9,'員工更表輸入'!$B$5:$B$39,H$172),Lists!$C$16&gt;=SUMIFS('員工更表輸入'!$D$5:$D$39,'員工更表輸入'!$A$5:$A$39,'設定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Settings'!$A$9,'員工更表輸入'!$B$5:$B$39,H$172)&gt;0,Lists!$C$16&gt;=SUMIFS('員工更表輸入'!$E$5:$E$39,'員工更表輸入'!$A$5:$A$39,'設定 Settings'!$A$9,'員工更表輸入'!$B$5:$B$39,H$172),Lists!$C$16&lt;SUMIFS('員工更表輸入'!$F$5:$F$39,'員工更表輸入'!$A$5:$A$39,'設定 Settings'!$A$9,'員工更表輸入'!$B$5:$B$39,H$172)),"Break","Work"))</f>
        <v/>
      </c>
    </row>
    <row r="188">
      <c r="A188" s="22" t="inlineStr">
        <is>
          <t>5:15pm-5:45pm</t>
        </is>
      </c>
      <c r="B188" s="24">
        <f>IF(OR(SUMIFS('員工更表輸入'!$D$5:$D$39,'員工更表輸入'!$A$5:$A$39,'設定 Settings'!$A$9,'員工更表輸入'!$B$5:$B$39,B$172)&lt;=0,Lists!$C$17&lt;SUMIFS('員工更表輸入'!$C$5:$C$39,'員工更表輸入'!$A$5:$A$39,'設定 Settings'!$A$9,'員工更表輸入'!$B$5:$B$39,B$172),Lists!$C$17&gt;=SUMIFS('員工更表輸入'!$D$5:$D$39,'員工更表輸入'!$A$5:$A$39,'設定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Settings'!$A$9,'員工更表輸入'!$B$5:$B$39,B$172)&gt;0,Lists!$C$17&gt;=SUMIFS('員工更表輸入'!$E$5:$E$39,'員工更表輸入'!$A$5:$A$39,'設定 Settings'!$A$9,'員工更表輸入'!$B$5:$B$39,B$172),Lists!$C$17&lt;SUMIFS('員工更表輸入'!$F$5:$F$39,'員工更表輸入'!$A$5:$A$39,'設定 Settings'!$A$9,'員工更表輸入'!$B$5:$B$39,B$172)),"Break","Work"))</f>
        <v/>
      </c>
      <c r="C188" s="24">
        <f>IF(OR(SUMIFS('員工更表輸入'!$D$5:$D$39,'員工更表輸入'!$A$5:$A$39,'設定 Settings'!$A$9,'員工更表輸入'!$B$5:$B$39,C$172)&lt;=0,Lists!$C$17&lt;SUMIFS('員工更表輸入'!$C$5:$C$39,'員工更表輸入'!$A$5:$A$39,'設定 Settings'!$A$9,'員工更表輸入'!$B$5:$B$39,C$172),Lists!$C$17&gt;=SUMIFS('員工更表輸入'!$D$5:$D$39,'員工更表輸入'!$A$5:$A$39,'設定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Settings'!$A$9,'員工更表輸入'!$B$5:$B$39,C$172)&gt;0,Lists!$C$17&gt;=SUMIFS('員工更表輸入'!$E$5:$E$39,'員工更表輸入'!$A$5:$A$39,'設定 Settings'!$A$9,'員工更表輸入'!$B$5:$B$39,C$172),Lists!$C$17&lt;SUMIFS('員工更表輸入'!$F$5:$F$39,'員工更表輸入'!$A$5:$A$39,'設定 Settings'!$A$9,'員工更表輸入'!$B$5:$B$39,C$172)),"Break","Work"))</f>
        <v/>
      </c>
      <c r="D188" s="24">
        <f>IF(OR(SUMIFS('員工更表輸入'!$D$5:$D$39,'員工更表輸入'!$A$5:$A$39,'設定 Settings'!$A$9,'員工更表輸入'!$B$5:$B$39,D$172)&lt;=0,Lists!$C$17&lt;SUMIFS('員工更表輸入'!$C$5:$C$39,'員工更表輸入'!$A$5:$A$39,'設定 Settings'!$A$9,'員工更表輸入'!$B$5:$B$39,D$172),Lists!$C$17&gt;=SUMIFS('員工更表輸入'!$D$5:$D$39,'員工更表輸入'!$A$5:$A$39,'設定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Settings'!$A$9,'員工更表輸入'!$B$5:$B$39,D$172)&gt;0,Lists!$C$17&gt;=SUMIFS('員工更表輸入'!$E$5:$E$39,'員工更表輸入'!$A$5:$A$39,'設定 Settings'!$A$9,'員工更表輸入'!$B$5:$B$39,D$172),Lists!$C$17&lt;SUMIFS('員工更表輸入'!$F$5:$F$39,'員工更表輸入'!$A$5:$A$39,'設定 Settings'!$A$9,'員工更表輸入'!$B$5:$B$39,D$172)),"Break","Work"))</f>
        <v/>
      </c>
      <c r="E188" s="24">
        <f>IF(OR(SUMIFS('員工更表輸入'!$D$5:$D$39,'員工更表輸入'!$A$5:$A$39,'設定 Settings'!$A$9,'員工更表輸入'!$B$5:$B$39,E$172)&lt;=0,Lists!$C$17&lt;SUMIFS('員工更表輸入'!$C$5:$C$39,'員工更表輸入'!$A$5:$A$39,'設定 Settings'!$A$9,'員工更表輸入'!$B$5:$B$39,E$172),Lists!$C$17&gt;=SUMIFS('員工更表輸入'!$D$5:$D$39,'員工更表輸入'!$A$5:$A$39,'設定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Settings'!$A$9,'員工更表輸入'!$B$5:$B$39,E$172)&gt;0,Lists!$C$17&gt;=SUMIFS('員工更表輸入'!$E$5:$E$39,'員工更表輸入'!$A$5:$A$39,'設定 Settings'!$A$9,'員工更表輸入'!$B$5:$B$39,E$172),Lists!$C$17&lt;SUMIFS('員工更表輸入'!$F$5:$F$39,'員工更表輸入'!$A$5:$A$39,'設定 Settings'!$A$9,'員工更表輸入'!$B$5:$B$39,E$172)),"Break","Work"))</f>
        <v/>
      </c>
      <c r="F188" s="24">
        <f>IF(OR(SUMIFS('員工更表輸入'!$D$5:$D$39,'員工更表輸入'!$A$5:$A$39,'設定 Settings'!$A$9,'員工更表輸入'!$B$5:$B$39,F$172)&lt;=0,Lists!$C$17&lt;SUMIFS('員工更表輸入'!$C$5:$C$39,'員工更表輸入'!$A$5:$A$39,'設定 Settings'!$A$9,'員工更表輸入'!$B$5:$B$39,F$172),Lists!$C$17&gt;=SUMIFS('員工更表輸入'!$D$5:$D$39,'員工更表輸入'!$A$5:$A$39,'設定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Settings'!$A$9,'員工更表輸入'!$B$5:$B$39,F$172)&gt;0,Lists!$C$17&gt;=SUMIFS('員工更表輸入'!$E$5:$E$39,'員工更表輸入'!$A$5:$A$39,'設定 Settings'!$A$9,'員工更表輸入'!$B$5:$B$39,F$172),Lists!$C$17&lt;SUMIFS('員工更表輸入'!$F$5:$F$39,'員工更表輸入'!$A$5:$A$39,'設定 Settings'!$A$9,'員工更表輸入'!$B$5:$B$39,F$172)),"Break","Work"))</f>
        <v/>
      </c>
      <c r="G188" s="24">
        <f>IF(OR(SUMIFS('員工更表輸入'!$D$5:$D$39,'員工更表輸入'!$A$5:$A$39,'設定 Settings'!$A$9,'員工更表輸入'!$B$5:$B$39,G$172)&lt;=0,Lists!$C$17&lt;SUMIFS('員工更表輸入'!$C$5:$C$39,'員工更表輸入'!$A$5:$A$39,'設定 Settings'!$A$9,'員工更表輸入'!$B$5:$B$39,G$172),Lists!$C$17&gt;=SUMIFS('員工更表輸入'!$D$5:$D$39,'員工更表輸入'!$A$5:$A$39,'設定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Settings'!$A$9,'員工更表輸入'!$B$5:$B$39,G$172)&gt;0,Lists!$C$17&gt;=SUMIFS('員工更表輸入'!$E$5:$E$39,'員工更表輸入'!$A$5:$A$39,'設定 Settings'!$A$9,'員工更表輸入'!$B$5:$B$39,G$172),Lists!$C$17&lt;SUMIFS('員工更表輸入'!$F$5:$F$39,'員工更表輸入'!$A$5:$A$39,'設定 Settings'!$A$9,'員工更表輸入'!$B$5:$B$39,G$172)),"Break","Work"))</f>
        <v/>
      </c>
      <c r="H188" s="24">
        <f>IF(OR(SUMIFS('員工更表輸入'!$D$5:$D$39,'員工更表輸入'!$A$5:$A$39,'設定 Settings'!$A$9,'員工更表輸入'!$B$5:$B$39,H$172)&lt;=0,Lists!$C$17&lt;SUMIFS('員工更表輸入'!$C$5:$C$39,'員工更表輸入'!$A$5:$A$39,'設定 Settings'!$A$9,'員工更表輸入'!$B$5:$B$39,H$172),Lists!$C$17&gt;=SUMIFS('員工更表輸入'!$D$5:$D$39,'員工更表輸入'!$A$5:$A$39,'設定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Settings'!$A$9,'員工更表輸入'!$B$5:$B$39,H$172)&gt;0,Lists!$C$17&gt;=SUMIFS('員工更表輸入'!$E$5:$E$39,'員工更表輸入'!$A$5:$A$39,'設定 Settings'!$A$9,'員工更表輸入'!$B$5:$B$39,H$172),Lists!$C$17&lt;SUMIFS('員工更表輸入'!$F$5:$F$39,'員工更表輸入'!$A$5:$A$39,'設定 Settings'!$A$9,'員工更表輸入'!$B$5:$B$39,H$172)),"Break","Work"))</f>
        <v/>
      </c>
    </row>
    <row r="189">
      <c r="A189" s="22" t="inlineStr">
        <is>
          <t>5:45pm-6:15pm</t>
        </is>
      </c>
      <c r="B189" s="24">
        <f>IF(OR(SUMIFS('員工更表輸入'!$D$5:$D$39,'員工更表輸入'!$A$5:$A$39,'設定 Settings'!$A$9,'員工更表輸入'!$B$5:$B$39,B$172)&lt;=0,Lists!$C$18&lt;SUMIFS('員工更表輸入'!$C$5:$C$39,'員工更表輸入'!$A$5:$A$39,'設定 Settings'!$A$9,'員工更表輸入'!$B$5:$B$39,B$172),Lists!$C$18&gt;=SUMIFS('員工更表輸入'!$D$5:$D$39,'員工更表輸入'!$A$5:$A$39,'設定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Settings'!$A$9,'員工更表輸入'!$B$5:$B$39,B$172)&gt;0,Lists!$C$18&gt;=SUMIFS('員工更表輸入'!$E$5:$E$39,'員工更表輸入'!$A$5:$A$39,'設定 Settings'!$A$9,'員工更表輸入'!$B$5:$B$39,B$172),Lists!$C$18&lt;SUMIFS('員工更表輸入'!$F$5:$F$39,'員工更表輸入'!$A$5:$A$39,'設定 Settings'!$A$9,'員工更表輸入'!$B$5:$B$39,B$172)),"Break","Work"))</f>
        <v/>
      </c>
      <c r="C189" s="24">
        <f>IF(OR(SUMIFS('員工更表輸入'!$D$5:$D$39,'員工更表輸入'!$A$5:$A$39,'設定 Settings'!$A$9,'員工更表輸入'!$B$5:$B$39,C$172)&lt;=0,Lists!$C$18&lt;SUMIFS('員工更表輸入'!$C$5:$C$39,'員工更表輸入'!$A$5:$A$39,'設定 Settings'!$A$9,'員工更表輸入'!$B$5:$B$39,C$172),Lists!$C$18&gt;=SUMIFS('員工更表輸入'!$D$5:$D$39,'員工更表輸入'!$A$5:$A$39,'設定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Settings'!$A$9,'員工更表輸入'!$B$5:$B$39,C$172)&gt;0,Lists!$C$18&gt;=SUMIFS('員工更表輸入'!$E$5:$E$39,'員工更表輸入'!$A$5:$A$39,'設定 Settings'!$A$9,'員工更表輸入'!$B$5:$B$39,C$172),Lists!$C$18&lt;SUMIFS('員工更表輸入'!$F$5:$F$39,'員工更表輸入'!$A$5:$A$39,'設定 Settings'!$A$9,'員工更表輸入'!$B$5:$B$39,C$172)),"Break","Work"))</f>
        <v/>
      </c>
      <c r="D189" s="24">
        <f>IF(OR(SUMIFS('員工更表輸入'!$D$5:$D$39,'員工更表輸入'!$A$5:$A$39,'設定 Settings'!$A$9,'員工更表輸入'!$B$5:$B$39,D$172)&lt;=0,Lists!$C$18&lt;SUMIFS('員工更表輸入'!$C$5:$C$39,'員工更表輸入'!$A$5:$A$39,'設定 Settings'!$A$9,'員工更表輸入'!$B$5:$B$39,D$172),Lists!$C$18&gt;=SUMIFS('員工更表輸入'!$D$5:$D$39,'員工更表輸入'!$A$5:$A$39,'設定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Settings'!$A$9,'員工更表輸入'!$B$5:$B$39,D$172)&gt;0,Lists!$C$18&gt;=SUMIFS('員工更表輸入'!$E$5:$E$39,'員工更表輸入'!$A$5:$A$39,'設定 Settings'!$A$9,'員工更表輸入'!$B$5:$B$39,D$172),Lists!$C$18&lt;SUMIFS('員工更表輸入'!$F$5:$F$39,'員工更表輸入'!$A$5:$A$39,'設定 Settings'!$A$9,'員工更表輸入'!$B$5:$B$39,D$172)),"Break","Work"))</f>
        <v/>
      </c>
      <c r="E189" s="24">
        <f>IF(OR(SUMIFS('員工更表輸入'!$D$5:$D$39,'員工更表輸入'!$A$5:$A$39,'設定 Settings'!$A$9,'員工更表輸入'!$B$5:$B$39,E$172)&lt;=0,Lists!$C$18&lt;SUMIFS('員工更表輸入'!$C$5:$C$39,'員工更表輸入'!$A$5:$A$39,'設定 Settings'!$A$9,'員工更表輸入'!$B$5:$B$39,E$172),Lists!$C$18&gt;=SUMIFS('員工更表輸入'!$D$5:$D$39,'員工更表輸入'!$A$5:$A$39,'設定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Settings'!$A$9,'員工更表輸入'!$B$5:$B$39,E$172)&gt;0,Lists!$C$18&gt;=SUMIFS('員工更表輸入'!$E$5:$E$39,'員工更表輸入'!$A$5:$A$39,'設定 Settings'!$A$9,'員工更表輸入'!$B$5:$B$39,E$172),Lists!$C$18&lt;SUMIFS('員工更表輸入'!$F$5:$F$39,'員工更表輸入'!$A$5:$A$39,'設定 Settings'!$A$9,'員工更表輸入'!$B$5:$B$39,E$172)),"Break","Work"))</f>
        <v/>
      </c>
      <c r="F189" s="24">
        <f>IF(OR(SUMIFS('員工更表輸入'!$D$5:$D$39,'員工更表輸入'!$A$5:$A$39,'設定 Settings'!$A$9,'員工更表輸入'!$B$5:$B$39,F$172)&lt;=0,Lists!$C$18&lt;SUMIFS('員工更表輸入'!$C$5:$C$39,'員工更表輸入'!$A$5:$A$39,'設定 Settings'!$A$9,'員工更表輸入'!$B$5:$B$39,F$172),Lists!$C$18&gt;=SUMIFS('員工更表輸入'!$D$5:$D$39,'員工更表輸入'!$A$5:$A$39,'設定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Settings'!$A$9,'員工更表輸入'!$B$5:$B$39,F$172)&gt;0,Lists!$C$18&gt;=SUMIFS('員工更表輸入'!$E$5:$E$39,'員工更表輸入'!$A$5:$A$39,'設定 Settings'!$A$9,'員工更表輸入'!$B$5:$B$39,F$172),Lists!$C$18&lt;SUMIFS('員工更表輸入'!$F$5:$F$39,'員工更表輸入'!$A$5:$A$39,'設定 Settings'!$A$9,'員工更表輸入'!$B$5:$B$39,F$172)),"Break","Work"))</f>
        <v/>
      </c>
      <c r="G189" s="24">
        <f>IF(OR(SUMIFS('員工更表輸入'!$D$5:$D$39,'員工更表輸入'!$A$5:$A$39,'設定 Settings'!$A$9,'員工更表輸入'!$B$5:$B$39,G$172)&lt;=0,Lists!$C$18&lt;SUMIFS('員工更表輸入'!$C$5:$C$39,'員工更表輸入'!$A$5:$A$39,'設定 Settings'!$A$9,'員工更表輸入'!$B$5:$B$39,G$172),Lists!$C$18&gt;=SUMIFS('員工更表輸入'!$D$5:$D$39,'員工更表輸入'!$A$5:$A$39,'設定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Settings'!$A$9,'員工更表輸入'!$B$5:$B$39,G$172)&gt;0,Lists!$C$18&gt;=SUMIFS('員工更表輸入'!$E$5:$E$39,'員工更表輸入'!$A$5:$A$39,'設定 Settings'!$A$9,'員工更表輸入'!$B$5:$B$39,G$172),Lists!$C$18&lt;SUMIFS('員工更表輸入'!$F$5:$F$39,'員工更表輸入'!$A$5:$A$39,'設定 Settings'!$A$9,'員工更表輸入'!$B$5:$B$39,G$172)),"Break","Work"))</f>
        <v/>
      </c>
      <c r="H189" s="24">
        <f>IF(OR(SUMIFS('員工更表輸入'!$D$5:$D$39,'員工更表輸入'!$A$5:$A$39,'設定 Settings'!$A$9,'員工更表輸入'!$B$5:$B$39,H$172)&lt;=0,Lists!$C$18&lt;SUMIFS('員工更表輸入'!$C$5:$C$39,'員工更表輸入'!$A$5:$A$39,'設定 Settings'!$A$9,'員工更表輸入'!$B$5:$B$39,H$172),Lists!$C$18&gt;=SUMIFS('員工更表輸入'!$D$5:$D$39,'員工更表輸入'!$A$5:$A$39,'設定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Settings'!$A$9,'員工更表輸入'!$B$5:$B$39,H$172)&gt;0,Lists!$C$18&gt;=SUMIFS('員工更表輸入'!$E$5:$E$39,'員工更表輸入'!$A$5:$A$39,'設定 Settings'!$A$9,'員工更表輸入'!$B$5:$B$39,H$172),Lists!$C$18&lt;SUMIFS('員工更表輸入'!$F$5:$F$39,'員工更表輸入'!$A$5:$A$39,'設定 Settings'!$A$9,'員工更表輸入'!$B$5:$B$39,H$172)),"Break","Work"))</f>
        <v/>
      </c>
    </row>
    <row r="190">
      <c r="A190" s="22" t="inlineStr">
        <is>
          <t>6:15pm-6:45pm</t>
        </is>
      </c>
      <c r="B190" s="24">
        <f>IF(OR(SUMIFS('員工更表輸入'!$D$5:$D$39,'員工更表輸入'!$A$5:$A$39,'設定 Settings'!$A$9,'員工更表輸入'!$B$5:$B$39,B$172)&lt;=0,Lists!$C$19&lt;SUMIFS('員工更表輸入'!$C$5:$C$39,'員工更表輸入'!$A$5:$A$39,'設定 Settings'!$A$9,'員工更表輸入'!$B$5:$B$39,B$172),Lists!$C$19&gt;=SUMIFS('員工更表輸入'!$D$5:$D$39,'員工更表輸入'!$A$5:$A$39,'設定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Settings'!$A$9,'員工更表輸入'!$B$5:$B$39,B$172)&gt;0,Lists!$C$19&gt;=SUMIFS('員工更表輸入'!$E$5:$E$39,'員工更表輸入'!$A$5:$A$39,'設定 Settings'!$A$9,'員工更表輸入'!$B$5:$B$39,B$172),Lists!$C$19&lt;SUMIFS('員工更表輸入'!$F$5:$F$39,'員工更表輸入'!$A$5:$A$39,'設定 Settings'!$A$9,'員工更表輸入'!$B$5:$B$39,B$172)),"Break","Work"))</f>
        <v/>
      </c>
      <c r="C190" s="24">
        <f>IF(OR(SUMIFS('員工更表輸入'!$D$5:$D$39,'員工更表輸入'!$A$5:$A$39,'設定 Settings'!$A$9,'員工更表輸入'!$B$5:$B$39,C$172)&lt;=0,Lists!$C$19&lt;SUMIFS('員工更表輸入'!$C$5:$C$39,'員工更表輸入'!$A$5:$A$39,'設定 Settings'!$A$9,'員工更表輸入'!$B$5:$B$39,C$172),Lists!$C$19&gt;=SUMIFS('員工更表輸入'!$D$5:$D$39,'員工更表輸入'!$A$5:$A$39,'設定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Settings'!$A$9,'員工更表輸入'!$B$5:$B$39,C$172)&gt;0,Lists!$C$19&gt;=SUMIFS('員工更表輸入'!$E$5:$E$39,'員工更表輸入'!$A$5:$A$39,'設定 Settings'!$A$9,'員工更表輸入'!$B$5:$B$39,C$172),Lists!$C$19&lt;SUMIFS('員工更表輸入'!$F$5:$F$39,'員工更表輸入'!$A$5:$A$39,'設定 Settings'!$A$9,'員工更表輸入'!$B$5:$B$39,C$172)),"Break","Work"))</f>
        <v/>
      </c>
      <c r="D190" s="24">
        <f>IF(OR(SUMIFS('員工更表輸入'!$D$5:$D$39,'員工更表輸入'!$A$5:$A$39,'設定 Settings'!$A$9,'員工更表輸入'!$B$5:$B$39,D$172)&lt;=0,Lists!$C$19&lt;SUMIFS('員工更表輸入'!$C$5:$C$39,'員工更表輸入'!$A$5:$A$39,'設定 Settings'!$A$9,'員工更表輸入'!$B$5:$B$39,D$172),Lists!$C$19&gt;=SUMIFS('員工更表輸入'!$D$5:$D$39,'員工更表輸入'!$A$5:$A$39,'設定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Settings'!$A$9,'員工更表輸入'!$B$5:$B$39,D$172)&gt;0,Lists!$C$19&gt;=SUMIFS('員工更表輸入'!$E$5:$E$39,'員工更表輸入'!$A$5:$A$39,'設定 Settings'!$A$9,'員工更表輸入'!$B$5:$B$39,D$172),Lists!$C$19&lt;SUMIFS('員工更表輸入'!$F$5:$F$39,'員工更表輸入'!$A$5:$A$39,'設定 Settings'!$A$9,'員工更表輸入'!$B$5:$B$39,D$172)),"Break","Work"))</f>
        <v/>
      </c>
      <c r="E190" s="24">
        <f>IF(OR(SUMIFS('員工更表輸入'!$D$5:$D$39,'員工更表輸入'!$A$5:$A$39,'設定 Settings'!$A$9,'員工更表輸入'!$B$5:$B$39,E$172)&lt;=0,Lists!$C$19&lt;SUMIFS('員工更表輸入'!$C$5:$C$39,'員工更表輸入'!$A$5:$A$39,'設定 Settings'!$A$9,'員工更表輸入'!$B$5:$B$39,E$172),Lists!$C$19&gt;=SUMIFS('員工更表輸入'!$D$5:$D$39,'員工更表輸入'!$A$5:$A$39,'設定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Settings'!$A$9,'員工更表輸入'!$B$5:$B$39,E$172)&gt;0,Lists!$C$19&gt;=SUMIFS('員工更表輸入'!$E$5:$E$39,'員工更表輸入'!$A$5:$A$39,'設定 Settings'!$A$9,'員工更表輸入'!$B$5:$B$39,E$172),Lists!$C$19&lt;SUMIFS('員工更表輸入'!$F$5:$F$39,'員工更表輸入'!$A$5:$A$39,'設定 Settings'!$A$9,'員工更表輸入'!$B$5:$B$39,E$172)),"Break","Work"))</f>
        <v/>
      </c>
      <c r="F190" s="24">
        <f>IF(OR(SUMIFS('員工更表輸入'!$D$5:$D$39,'員工更表輸入'!$A$5:$A$39,'設定 Settings'!$A$9,'員工更表輸入'!$B$5:$B$39,F$172)&lt;=0,Lists!$C$19&lt;SUMIFS('員工更表輸入'!$C$5:$C$39,'員工更表輸入'!$A$5:$A$39,'設定 Settings'!$A$9,'員工更表輸入'!$B$5:$B$39,F$172),Lists!$C$19&gt;=SUMIFS('員工更表輸入'!$D$5:$D$39,'員工更表輸入'!$A$5:$A$39,'設定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Settings'!$A$9,'員工更表輸入'!$B$5:$B$39,F$172)&gt;0,Lists!$C$19&gt;=SUMIFS('員工更表輸入'!$E$5:$E$39,'員工更表輸入'!$A$5:$A$39,'設定 Settings'!$A$9,'員工更表輸入'!$B$5:$B$39,F$172),Lists!$C$19&lt;SUMIFS('員工更表輸入'!$F$5:$F$39,'員工更表輸入'!$A$5:$A$39,'設定 Settings'!$A$9,'員工更表輸入'!$B$5:$B$39,F$172)),"Break","Work"))</f>
        <v/>
      </c>
      <c r="G190" s="24">
        <f>IF(OR(SUMIFS('員工更表輸入'!$D$5:$D$39,'員工更表輸入'!$A$5:$A$39,'設定 Settings'!$A$9,'員工更表輸入'!$B$5:$B$39,G$172)&lt;=0,Lists!$C$19&lt;SUMIFS('員工更表輸入'!$C$5:$C$39,'員工更表輸入'!$A$5:$A$39,'設定 Settings'!$A$9,'員工更表輸入'!$B$5:$B$39,G$172),Lists!$C$19&gt;=SUMIFS('員工更表輸入'!$D$5:$D$39,'員工更表輸入'!$A$5:$A$39,'設定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Settings'!$A$9,'員工更表輸入'!$B$5:$B$39,G$172)&gt;0,Lists!$C$19&gt;=SUMIFS('員工更表輸入'!$E$5:$E$39,'員工更表輸入'!$A$5:$A$39,'設定 Settings'!$A$9,'員工更表輸入'!$B$5:$B$39,G$172),Lists!$C$19&lt;SUMIFS('員工更表輸入'!$F$5:$F$39,'員工更表輸入'!$A$5:$A$39,'設定 Settings'!$A$9,'員工更表輸入'!$B$5:$B$39,G$172)),"Break","Work"))</f>
        <v/>
      </c>
      <c r="H190" s="24">
        <f>IF(OR(SUMIFS('員工更表輸入'!$D$5:$D$39,'員工更表輸入'!$A$5:$A$39,'設定 Settings'!$A$9,'員工更表輸入'!$B$5:$B$39,H$172)&lt;=0,Lists!$C$19&lt;SUMIFS('員工更表輸入'!$C$5:$C$39,'員工更表輸入'!$A$5:$A$39,'設定 Settings'!$A$9,'員工更表輸入'!$B$5:$B$39,H$172),Lists!$C$19&gt;=SUMIFS('員工更表輸入'!$D$5:$D$39,'員工更表輸入'!$A$5:$A$39,'設定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Settings'!$A$9,'員工更表輸入'!$B$5:$B$39,H$172)&gt;0,Lists!$C$19&gt;=SUMIFS('員工更表輸入'!$E$5:$E$39,'員工更表輸入'!$A$5:$A$39,'設定 Settings'!$A$9,'員工更表輸入'!$B$5:$B$39,H$172),Lists!$C$19&lt;SUMIFS('員工更表輸入'!$F$5:$F$39,'員工更表輸入'!$A$5:$A$39,'設定 Settings'!$A$9,'員工更表輸入'!$B$5:$B$39,H$172)),"Break","Work"))</f>
        <v/>
      </c>
    </row>
    <row r="191">
      <c r="A191" s="22" t="inlineStr">
        <is>
          <t>6:45pm-7:15pm</t>
        </is>
      </c>
      <c r="B191" s="24">
        <f>IF(OR(SUMIFS('員工更表輸入'!$D$5:$D$39,'員工更表輸入'!$A$5:$A$39,'設定 Settings'!$A$9,'員工更表輸入'!$B$5:$B$39,B$172)&lt;=0,Lists!$C$20&lt;SUMIFS('員工更表輸入'!$C$5:$C$39,'員工更表輸入'!$A$5:$A$39,'設定 Settings'!$A$9,'員工更表輸入'!$B$5:$B$39,B$172),Lists!$C$20&gt;=SUMIFS('員工更表輸入'!$D$5:$D$39,'員工更表輸入'!$A$5:$A$39,'設定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Settings'!$A$9,'員工更表輸入'!$B$5:$B$39,B$172)&gt;0,Lists!$C$20&gt;=SUMIFS('員工更表輸入'!$E$5:$E$39,'員工更表輸入'!$A$5:$A$39,'設定 Settings'!$A$9,'員工更表輸入'!$B$5:$B$39,B$172),Lists!$C$20&lt;SUMIFS('員工更表輸入'!$F$5:$F$39,'員工更表輸入'!$A$5:$A$39,'設定 Settings'!$A$9,'員工更表輸入'!$B$5:$B$39,B$172)),"Break","Work"))</f>
        <v/>
      </c>
      <c r="C191" s="24">
        <f>IF(OR(SUMIFS('員工更表輸入'!$D$5:$D$39,'員工更表輸入'!$A$5:$A$39,'設定 Settings'!$A$9,'員工更表輸入'!$B$5:$B$39,C$172)&lt;=0,Lists!$C$20&lt;SUMIFS('員工更表輸入'!$C$5:$C$39,'員工更表輸入'!$A$5:$A$39,'設定 Settings'!$A$9,'員工更表輸入'!$B$5:$B$39,C$172),Lists!$C$20&gt;=SUMIFS('員工更表輸入'!$D$5:$D$39,'員工更表輸入'!$A$5:$A$39,'設定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Settings'!$A$9,'員工更表輸入'!$B$5:$B$39,C$172)&gt;0,Lists!$C$20&gt;=SUMIFS('員工更表輸入'!$E$5:$E$39,'員工更表輸入'!$A$5:$A$39,'設定 Settings'!$A$9,'員工更表輸入'!$B$5:$B$39,C$172),Lists!$C$20&lt;SUMIFS('員工更表輸入'!$F$5:$F$39,'員工更表輸入'!$A$5:$A$39,'設定 Settings'!$A$9,'員工更表輸入'!$B$5:$B$39,C$172)),"Break","Work"))</f>
        <v/>
      </c>
      <c r="D191" s="24">
        <f>IF(OR(SUMIFS('員工更表輸入'!$D$5:$D$39,'員工更表輸入'!$A$5:$A$39,'設定 Settings'!$A$9,'員工更表輸入'!$B$5:$B$39,D$172)&lt;=0,Lists!$C$20&lt;SUMIFS('員工更表輸入'!$C$5:$C$39,'員工更表輸入'!$A$5:$A$39,'設定 Settings'!$A$9,'員工更表輸入'!$B$5:$B$39,D$172),Lists!$C$20&gt;=SUMIFS('員工更表輸入'!$D$5:$D$39,'員工更表輸入'!$A$5:$A$39,'設定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Settings'!$A$9,'員工更表輸入'!$B$5:$B$39,D$172)&gt;0,Lists!$C$20&gt;=SUMIFS('員工更表輸入'!$E$5:$E$39,'員工更表輸入'!$A$5:$A$39,'設定 Settings'!$A$9,'員工更表輸入'!$B$5:$B$39,D$172),Lists!$C$20&lt;SUMIFS('員工更表輸入'!$F$5:$F$39,'員工更表輸入'!$A$5:$A$39,'設定 Settings'!$A$9,'員工更表輸入'!$B$5:$B$39,D$172)),"Break","Work"))</f>
        <v/>
      </c>
      <c r="E191" s="24">
        <f>IF(OR(SUMIFS('員工更表輸入'!$D$5:$D$39,'員工更表輸入'!$A$5:$A$39,'設定 Settings'!$A$9,'員工更表輸入'!$B$5:$B$39,E$172)&lt;=0,Lists!$C$20&lt;SUMIFS('員工更表輸入'!$C$5:$C$39,'員工更表輸入'!$A$5:$A$39,'設定 Settings'!$A$9,'員工更表輸入'!$B$5:$B$39,E$172),Lists!$C$20&gt;=SUMIFS('員工更表輸入'!$D$5:$D$39,'員工更表輸入'!$A$5:$A$39,'設定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Settings'!$A$9,'員工更表輸入'!$B$5:$B$39,E$172)&gt;0,Lists!$C$20&gt;=SUMIFS('員工更表輸入'!$E$5:$E$39,'員工更表輸入'!$A$5:$A$39,'設定 Settings'!$A$9,'員工更表輸入'!$B$5:$B$39,E$172),Lists!$C$20&lt;SUMIFS('員工更表輸入'!$F$5:$F$39,'員工更表輸入'!$A$5:$A$39,'設定 Settings'!$A$9,'員工更表輸入'!$B$5:$B$39,E$172)),"Break","Work"))</f>
        <v/>
      </c>
      <c r="F191" s="24">
        <f>IF(OR(SUMIFS('員工更表輸入'!$D$5:$D$39,'員工更表輸入'!$A$5:$A$39,'設定 Settings'!$A$9,'員工更表輸入'!$B$5:$B$39,F$172)&lt;=0,Lists!$C$20&lt;SUMIFS('員工更表輸入'!$C$5:$C$39,'員工更表輸入'!$A$5:$A$39,'設定 Settings'!$A$9,'員工更表輸入'!$B$5:$B$39,F$172),Lists!$C$20&gt;=SUMIFS('員工更表輸入'!$D$5:$D$39,'員工更表輸入'!$A$5:$A$39,'設定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Settings'!$A$9,'員工更表輸入'!$B$5:$B$39,F$172)&gt;0,Lists!$C$20&gt;=SUMIFS('員工更表輸入'!$E$5:$E$39,'員工更表輸入'!$A$5:$A$39,'設定 Settings'!$A$9,'員工更表輸入'!$B$5:$B$39,F$172),Lists!$C$20&lt;SUMIFS('員工更表輸入'!$F$5:$F$39,'員工更表輸入'!$A$5:$A$39,'設定 Settings'!$A$9,'員工更表輸入'!$B$5:$B$39,F$172)),"Break","Work"))</f>
        <v/>
      </c>
      <c r="G191" s="24">
        <f>IF(OR(SUMIFS('員工更表輸入'!$D$5:$D$39,'員工更表輸入'!$A$5:$A$39,'設定 Settings'!$A$9,'員工更表輸入'!$B$5:$B$39,G$172)&lt;=0,Lists!$C$20&lt;SUMIFS('員工更表輸入'!$C$5:$C$39,'員工更表輸入'!$A$5:$A$39,'設定 Settings'!$A$9,'員工更表輸入'!$B$5:$B$39,G$172),Lists!$C$20&gt;=SUMIFS('員工更表輸入'!$D$5:$D$39,'員工更表輸入'!$A$5:$A$39,'設定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Settings'!$A$9,'員工更表輸入'!$B$5:$B$39,G$172)&gt;0,Lists!$C$20&gt;=SUMIFS('員工更表輸入'!$E$5:$E$39,'員工更表輸入'!$A$5:$A$39,'設定 Settings'!$A$9,'員工更表輸入'!$B$5:$B$39,G$172),Lists!$C$20&lt;SUMIFS('員工更表輸入'!$F$5:$F$39,'員工更表輸入'!$A$5:$A$39,'設定 Settings'!$A$9,'員工更表輸入'!$B$5:$B$39,G$172)),"Break","Work"))</f>
        <v/>
      </c>
      <c r="H191" s="24">
        <f>IF(OR(SUMIFS('員工更表輸入'!$D$5:$D$39,'員工更表輸入'!$A$5:$A$39,'設定 Settings'!$A$9,'員工更表輸入'!$B$5:$B$39,H$172)&lt;=0,Lists!$C$20&lt;SUMIFS('員工更表輸入'!$C$5:$C$39,'員工更表輸入'!$A$5:$A$39,'設定 Settings'!$A$9,'員工更表輸入'!$B$5:$B$39,H$172),Lists!$C$20&gt;=SUMIFS('員工更表輸入'!$D$5:$D$39,'員工更表輸入'!$A$5:$A$39,'設定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Settings'!$A$9,'員工更表輸入'!$B$5:$B$39,H$172)&gt;0,Lists!$C$20&gt;=SUMIFS('員工更表輸入'!$E$5:$E$39,'員工更表輸入'!$A$5:$A$39,'設定 Settings'!$A$9,'員工更表輸入'!$B$5:$B$39,H$172),Lists!$C$20&lt;SUMIFS('員工更表輸入'!$F$5:$F$39,'員工更表輸入'!$A$5:$A$39,'設定 Settings'!$A$9,'員工更表輸入'!$B$5:$B$39,H$172)),"Break","Work"))</f>
        <v/>
      </c>
    </row>
    <row r="192">
      <c r="A192" s="22" t="inlineStr">
        <is>
          <t>7:15pm-7:45pm</t>
        </is>
      </c>
      <c r="B192" s="24">
        <f>IF(OR(SUMIFS('員工更表輸入'!$D$5:$D$39,'員工更表輸入'!$A$5:$A$39,'設定 Settings'!$A$9,'員工更表輸入'!$B$5:$B$39,B$172)&lt;=0,Lists!$C$21&lt;SUMIFS('員工更表輸入'!$C$5:$C$39,'員工更表輸入'!$A$5:$A$39,'設定 Settings'!$A$9,'員工更表輸入'!$B$5:$B$39,B$172),Lists!$C$21&gt;=SUMIFS('員工更表輸入'!$D$5:$D$39,'員工更表輸入'!$A$5:$A$39,'設定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Settings'!$A$9,'員工更表輸入'!$B$5:$B$39,B$172)&gt;0,Lists!$C$21&gt;=SUMIFS('員工更表輸入'!$E$5:$E$39,'員工更表輸入'!$A$5:$A$39,'設定 Settings'!$A$9,'員工更表輸入'!$B$5:$B$39,B$172),Lists!$C$21&lt;SUMIFS('員工更表輸入'!$F$5:$F$39,'員工更表輸入'!$A$5:$A$39,'設定 Settings'!$A$9,'員工更表輸入'!$B$5:$B$39,B$172)),"Break","Work"))</f>
        <v/>
      </c>
      <c r="C192" s="24">
        <f>IF(OR(SUMIFS('員工更表輸入'!$D$5:$D$39,'員工更表輸入'!$A$5:$A$39,'設定 Settings'!$A$9,'員工更表輸入'!$B$5:$B$39,C$172)&lt;=0,Lists!$C$21&lt;SUMIFS('員工更表輸入'!$C$5:$C$39,'員工更表輸入'!$A$5:$A$39,'設定 Settings'!$A$9,'員工更表輸入'!$B$5:$B$39,C$172),Lists!$C$21&gt;=SUMIFS('員工更表輸入'!$D$5:$D$39,'員工更表輸入'!$A$5:$A$39,'設定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Settings'!$A$9,'員工更表輸入'!$B$5:$B$39,C$172)&gt;0,Lists!$C$21&gt;=SUMIFS('員工更表輸入'!$E$5:$E$39,'員工更表輸入'!$A$5:$A$39,'設定 Settings'!$A$9,'員工更表輸入'!$B$5:$B$39,C$172),Lists!$C$21&lt;SUMIFS('員工更表輸入'!$F$5:$F$39,'員工更表輸入'!$A$5:$A$39,'設定 Settings'!$A$9,'員工更表輸入'!$B$5:$B$39,C$172)),"Break","Work"))</f>
        <v/>
      </c>
      <c r="D192" s="24">
        <f>IF(OR(SUMIFS('員工更表輸入'!$D$5:$D$39,'員工更表輸入'!$A$5:$A$39,'設定 Settings'!$A$9,'員工更表輸入'!$B$5:$B$39,D$172)&lt;=0,Lists!$C$21&lt;SUMIFS('員工更表輸入'!$C$5:$C$39,'員工更表輸入'!$A$5:$A$39,'設定 Settings'!$A$9,'員工更表輸入'!$B$5:$B$39,D$172),Lists!$C$21&gt;=SUMIFS('員工更表輸入'!$D$5:$D$39,'員工更表輸入'!$A$5:$A$39,'設定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Settings'!$A$9,'員工更表輸入'!$B$5:$B$39,D$172)&gt;0,Lists!$C$21&gt;=SUMIFS('員工更表輸入'!$E$5:$E$39,'員工更表輸入'!$A$5:$A$39,'設定 Settings'!$A$9,'員工更表輸入'!$B$5:$B$39,D$172),Lists!$C$21&lt;SUMIFS('員工更表輸入'!$F$5:$F$39,'員工更表輸入'!$A$5:$A$39,'設定 Settings'!$A$9,'員工更表輸入'!$B$5:$B$39,D$172)),"Break","Work"))</f>
        <v/>
      </c>
      <c r="E192" s="24">
        <f>IF(OR(SUMIFS('員工更表輸入'!$D$5:$D$39,'員工更表輸入'!$A$5:$A$39,'設定 Settings'!$A$9,'員工更表輸入'!$B$5:$B$39,E$172)&lt;=0,Lists!$C$21&lt;SUMIFS('員工更表輸入'!$C$5:$C$39,'員工更表輸入'!$A$5:$A$39,'設定 Settings'!$A$9,'員工更表輸入'!$B$5:$B$39,E$172),Lists!$C$21&gt;=SUMIFS('員工更表輸入'!$D$5:$D$39,'員工更表輸入'!$A$5:$A$39,'設定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Settings'!$A$9,'員工更表輸入'!$B$5:$B$39,E$172)&gt;0,Lists!$C$21&gt;=SUMIFS('員工更表輸入'!$E$5:$E$39,'員工更表輸入'!$A$5:$A$39,'設定 Settings'!$A$9,'員工更表輸入'!$B$5:$B$39,E$172),Lists!$C$21&lt;SUMIFS('員工更表輸入'!$F$5:$F$39,'員工更表輸入'!$A$5:$A$39,'設定 Settings'!$A$9,'員工更表輸入'!$B$5:$B$39,E$172)),"Break","Work"))</f>
        <v/>
      </c>
      <c r="F192" s="24">
        <f>IF(OR(SUMIFS('員工更表輸入'!$D$5:$D$39,'員工更表輸入'!$A$5:$A$39,'設定 Settings'!$A$9,'員工更表輸入'!$B$5:$B$39,F$172)&lt;=0,Lists!$C$21&lt;SUMIFS('員工更表輸入'!$C$5:$C$39,'員工更表輸入'!$A$5:$A$39,'設定 Settings'!$A$9,'員工更表輸入'!$B$5:$B$39,F$172),Lists!$C$21&gt;=SUMIFS('員工更表輸入'!$D$5:$D$39,'員工更表輸入'!$A$5:$A$39,'設定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Settings'!$A$9,'員工更表輸入'!$B$5:$B$39,F$172)&gt;0,Lists!$C$21&gt;=SUMIFS('員工更表輸入'!$E$5:$E$39,'員工更表輸入'!$A$5:$A$39,'設定 Settings'!$A$9,'員工更表輸入'!$B$5:$B$39,F$172),Lists!$C$21&lt;SUMIFS('員工更表輸入'!$F$5:$F$39,'員工更表輸入'!$A$5:$A$39,'設定 Settings'!$A$9,'員工更表輸入'!$B$5:$B$39,F$172)),"Break","Work"))</f>
        <v/>
      </c>
      <c r="G192" s="24">
        <f>IF(OR(SUMIFS('員工更表輸入'!$D$5:$D$39,'員工更表輸入'!$A$5:$A$39,'設定 Settings'!$A$9,'員工更表輸入'!$B$5:$B$39,G$172)&lt;=0,Lists!$C$21&lt;SUMIFS('員工更表輸入'!$C$5:$C$39,'員工更表輸入'!$A$5:$A$39,'設定 Settings'!$A$9,'員工更表輸入'!$B$5:$B$39,G$172),Lists!$C$21&gt;=SUMIFS('員工更表輸入'!$D$5:$D$39,'員工更表輸入'!$A$5:$A$39,'設定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Settings'!$A$9,'員工更表輸入'!$B$5:$B$39,G$172)&gt;0,Lists!$C$21&gt;=SUMIFS('員工更表輸入'!$E$5:$E$39,'員工更表輸入'!$A$5:$A$39,'設定 Settings'!$A$9,'員工更表輸入'!$B$5:$B$39,G$172),Lists!$C$21&lt;SUMIFS('員工更表輸入'!$F$5:$F$39,'員工更表輸入'!$A$5:$A$39,'設定 Settings'!$A$9,'員工更表輸入'!$B$5:$B$39,G$172)),"Break","Work"))</f>
        <v/>
      </c>
      <c r="H192" s="24">
        <f>IF(OR(SUMIFS('員工更表輸入'!$D$5:$D$39,'員工更表輸入'!$A$5:$A$39,'設定 Settings'!$A$9,'員工更表輸入'!$B$5:$B$39,H$172)&lt;=0,Lists!$C$21&lt;SUMIFS('員工更表輸入'!$C$5:$C$39,'員工更表輸入'!$A$5:$A$39,'設定 Settings'!$A$9,'員工更表輸入'!$B$5:$B$39,H$172),Lists!$C$21&gt;=SUMIFS('員工更表輸入'!$D$5:$D$39,'員工更表輸入'!$A$5:$A$39,'設定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Settings'!$A$9,'員工更表輸入'!$B$5:$B$39,H$172)&gt;0,Lists!$C$21&gt;=SUMIFS('員工更表輸入'!$E$5:$E$39,'員工更表輸入'!$A$5:$A$39,'設定 Settings'!$A$9,'員工更表輸入'!$B$5:$B$39,H$172),Lists!$C$21&lt;SUMIFS('員工更表輸入'!$F$5:$F$39,'員工更表輸入'!$A$5:$A$39,'設定 Settings'!$A$9,'員工更表輸入'!$B$5:$B$39,H$172)),"Break","Work"))</f>
        <v/>
      </c>
    </row>
    <row r="193">
      <c r="A193" s="22" t="inlineStr">
        <is>
          <t>7:45pm-8:15pm</t>
        </is>
      </c>
      <c r="B193" s="24">
        <f>IF(OR(SUMIFS('員工更表輸入'!$D$5:$D$39,'員工更表輸入'!$A$5:$A$39,'設定 Settings'!$A$9,'員工更表輸入'!$B$5:$B$39,B$172)&lt;=0,Lists!$C$22&lt;SUMIFS('員工更表輸入'!$C$5:$C$39,'員工更表輸入'!$A$5:$A$39,'設定 Settings'!$A$9,'員工更表輸入'!$B$5:$B$39,B$172),Lists!$C$22&gt;=SUMIFS('員工更表輸入'!$D$5:$D$39,'員工更表輸入'!$A$5:$A$39,'設定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Settings'!$A$9,'員工更表輸入'!$B$5:$B$39,B$172)&gt;0,Lists!$C$22&gt;=SUMIFS('員工更表輸入'!$E$5:$E$39,'員工更表輸入'!$A$5:$A$39,'設定 Settings'!$A$9,'員工更表輸入'!$B$5:$B$39,B$172),Lists!$C$22&lt;SUMIFS('員工更表輸入'!$F$5:$F$39,'員工更表輸入'!$A$5:$A$39,'設定 Settings'!$A$9,'員工更表輸入'!$B$5:$B$39,B$172)),"Break","Work"))</f>
        <v/>
      </c>
      <c r="C193" s="24">
        <f>IF(OR(SUMIFS('員工更表輸入'!$D$5:$D$39,'員工更表輸入'!$A$5:$A$39,'設定 Settings'!$A$9,'員工更表輸入'!$B$5:$B$39,C$172)&lt;=0,Lists!$C$22&lt;SUMIFS('員工更表輸入'!$C$5:$C$39,'員工更表輸入'!$A$5:$A$39,'設定 Settings'!$A$9,'員工更表輸入'!$B$5:$B$39,C$172),Lists!$C$22&gt;=SUMIFS('員工更表輸入'!$D$5:$D$39,'員工更表輸入'!$A$5:$A$39,'設定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Settings'!$A$9,'員工更表輸入'!$B$5:$B$39,C$172)&gt;0,Lists!$C$22&gt;=SUMIFS('員工更表輸入'!$E$5:$E$39,'員工更表輸入'!$A$5:$A$39,'設定 Settings'!$A$9,'員工更表輸入'!$B$5:$B$39,C$172),Lists!$C$22&lt;SUMIFS('員工更表輸入'!$F$5:$F$39,'員工更表輸入'!$A$5:$A$39,'設定 Settings'!$A$9,'員工更表輸入'!$B$5:$B$39,C$172)),"Break","Work"))</f>
        <v/>
      </c>
      <c r="D193" s="24">
        <f>IF(OR(SUMIFS('員工更表輸入'!$D$5:$D$39,'員工更表輸入'!$A$5:$A$39,'設定 Settings'!$A$9,'員工更表輸入'!$B$5:$B$39,D$172)&lt;=0,Lists!$C$22&lt;SUMIFS('員工更表輸入'!$C$5:$C$39,'員工更表輸入'!$A$5:$A$39,'設定 Settings'!$A$9,'員工更表輸入'!$B$5:$B$39,D$172),Lists!$C$22&gt;=SUMIFS('員工更表輸入'!$D$5:$D$39,'員工更表輸入'!$A$5:$A$39,'設定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Settings'!$A$9,'員工更表輸入'!$B$5:$B$39,D$172)&gt;0,Lists!$C$22&gt;=SUMIFS('員工更表輸入'!$E$5:$E$39,'員工更表輸入'!$A$5:$A$39,'設定 Settings'!$A$9,'員工更表輸入'!$B$5:$B$39,D$172),Lists!$C$22&lt;SUMIFS('員工更表輸入'!$F$5:$F$39,'員工更表輸入'!$A$5:$A$39,'設定 Settings'!$A$9,'員工更表輸入'!$B$5:$B$39,D$172)),"Break","Work"))</f>
        <v/>
      </c>
      <c r="E193" s="24">
        <f>IF(OR(SUMIFS('員工更表輸入'!$D$5:$D$39,'員工更表輸入'!$A$5:$A$39,'設定 Settings'!$A$9,'員工更表輸入'!$B$5:$B$39,E$172)&lt;=0,Lists!$C$22&lt;SUMIFS('員工更表輸入'!$C$5:$C$39,'員工更表輸入'!$A$5:$A$39,'設定 Settings'!$A$9,'員工更表輸入'!$B$5:$B$39,E$172),Lists!$C$22&gt;=SUMIFS('員工更表輸入'!$D$5:$D$39,'員工更表輸入'!$A$5:$A$39,'設定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Settings'!$A$9,'員工更表輸入'!$B$5:$B$39,E$172)&gt;0,Lists!$C$22&gt;=SUMIFS('員工更表輸入'!$E$5:$E$39,'員工更表輸入'!$A$5:$A$39,'設定 Settings'!$A$9,'員工更表輸入'!$B$5:$B$39,E$172),Lists!$C$22&lt;SUMIFS('員工更表輸入'!$F$5:$F$39,'員工更表輸入'!$A$5:$A$39,'設定 Settings'!$A$9,'員工更表輸入'!$B$5:$B$39,E$172)),"Break","Work"))</f>
        <v/>
      </c>
      <c r="F193" s="24">
        <f>IF(OR(SUMIFS('員工更表輸入'!$D$5:$D$39,'員工更表輸入'!$A$5:$A$39,'設定 Settings'!$A$9,'員工更表輸入'!$B$5:$B$39,F$172)&lt;=0,Lists!$C$22&lt;SUMIFS('員工更表輸入'!$C$5:$C$39,'員工更表輸入'!$A$5:$A$39,'設定 Settings'!$A$9,'員工更表輸入'!$B$5:$B$39,F$172),Lists!$C$22&gt;=SUMIFS('員工更表輸入'!$D$5:$D$39,'員工更表輸入'!$A$5:$A$39,'設定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Settings'!$A$9,'員工更表輸入'!$B$5:$B$39,F$172)&gt;0,Lists!$C$22&gt;=SUMIFS('員工更表輸入'!$E$5:$E$39,'員工更表輸入'!$A$5:$A$39,'設定 Settings'!$A$9,'員工更表輸入'!$B$5:$B$39,F$172),Lists!$C$22&lt;SUMIFS('員工更表輸入'!$F$5:$F$39,'員工更表輸入'!$A$5:$A$39,'設定 Settings'!$A$9,'員工更表輸入'!$B$5:$B$39,F$172)),"Break","Work"))</f>
        <v/>
      </c>
      <c r="G193" s="24">
        <f>IF(OR(SUMIFS('員工更表輸入'!$D$5:$D$39,'員工更表輸入'!$A$5:$A$39,'設定 Settings'!$A$9,'員工更表輸入'!$B$5:$B$39,G$172)&lt;=0,Lists!$C$22&lt;SUMIFS('員工更表輸入'!$C$5:$C$39,'員工更表輸入'!$A$5:$A$39,'設定 Settings'!$A$9,'員工更表輸入'!$B$5:$B$39,G$172),Lists!$C$22&gt;=SUMIFS('員工更表輸入'!$D$5:$D$39,'員工更表輸入'!$A$5:$A$39,'設定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Settings'!$A$9,'員工更表輸入'!$B$5:$B$39,G$172)&gt;0,Lists!$C$22&gt;=SUMIFS('員工更表輸入'!$E$5:$E$39,'員工更表輸入'!$A$5:$A$39,'設定 Settings'!$A$9,'員工更表輸入'!$B$5:$B$39,G$172),Lists!$C$22&lt;SUMIFS('員工更表輸入'!$F$5:$F$39,'員工更表輸入'!$A$5:$A$39,'設定 Settings'!$A$9,'員工更表輸入'!$B$5:$B$39,G$172)),"Break","Work"))</f>
        <v/>
      </c>
      <c r="H193" s="24">
        <f>IF(OR(SUMIFS('員工更表輸入'!$D$5:$D$39,'員工更表輸入'!$A$5:$A$39,'設定 Settings'!$A$9,'員工更表輸入'!$B$5:$B$39,H$172)&lt;=0,Lists!$C$22&lt;SUMIFS('員工更表輸入'!$C$5:$C$39,'員工更表輸入'!$A$5:$A$39,'設定 Settings'!$A$9,'員工更表輸入'!$B$5:$B$39,H$172),Lists!$C$22&gt;=SUMIFS('員工更表輸入'!$D$5:$D$39,'員工更表輸入'!$A$5:$A$39,'設定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Settings'!$A$9,'員工更表輸入'!$B$5:$B$39,H$172)&gt;0,Lists!$C$22&gt;=SUMIFS('員工更表輸入'!$E$5:$E$39,'員工更表輸入'!$A$5:$A$39,'設定 Settings'!$A$9,'員工更表輸入'!$B$5:$B$39,H$172),Lists!$C$22&lt;SUMIFS('員工更表輸入'!$F$5:$F$39,'員工更表輸入'!$A$5:$A$39,'設定 Settings'!$A$9,'員工更表輸入'!$B$5:$B$39,H$172)),"Break","Work"))</f>
        <v/>
      </c>
    </row>
    <row r="194">
      <c r="A194" s="22" t="inlineStr">
        <is>
          <t>8:15pm-8:45pm</t>
        </is>
      </c>
      <c r="B194" s="24">
        <f>IF(OR(SUMIFS('員工更表輸入'!$D$5:$D$39,'員工更表輸入'!$A$5:$A$39,'設定 Settings'!$A$9,'員工更表輸入'!$B$5:$B$39,B$172)&lt;=0,Lists!$C$23&lt;SUMIFS('員工更表輸入'!$C$5:$C$39,'員工更表輸入'!$A$5:$A$39,'設定 Settings'!$A$9,'員工更表輸入'!$B$5:$B$39,B$172),Lists!$C$23&gt;=SUMIFS('員工更表輸入'!$D$5:$D$39,'員工更表輸入'!$A$5:$A$39,'設定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Settings'!$A$9,'員工更表輸入'!$B$5:$B$39,B$172)&gt;0,Lists!$C$23&gt;=SUMIFS('員工更表輸入'!$E$5:$E$39,'員工更表輸入'!$A$5:$A$39,'設定 Settings'!$A$9,'員工更表輸入'!$B$5:$B$39,B$172),Lists!$C$23&lt;SUMIFS('員工更表輸入'!$F$5:$F$39,'員工更表輸入'!$A$5:$A$39,'設定 Settings'!$A$9,'員工更表輸入'!$B$5:$B$39,B$172)),"Break","Work"))</f>
        <v/>
      </c>
      <c r="C194" s="24">
        <f>IF(OR(SUMIFS('員工更表輸入'!$D$5:$D$39,'員工更表輸入'!$A$5:$A$39,'設定 Settings'!$A$9,'員工更表輸入'!$B$5:$B$39,C$172)&lt;=0,Lists!$C$23&lt;SUMIFS('員工更表輸入'!$C$5:$C$39,'員工更表輸入'!$A$5:$A$39,'設定 Settings'!$A$9,'員工更表輸入'!$B$5:$B$39,C$172),Lists!$C$23&gt;=SUMIFS('員工更表輸入'!$D$5:$D$39,'員工更表輸入'!$A$5:$A$39,'設定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Settings'!$A$9,'員工更表輸入'!$B$5:$B$39,C$172)&gt;0,Lists!$C$23&gt;=SUMIFS('員工更表輸入'!$E$5:$E$39,'員工更表輸入'!$A$5:$A$39,'設定 Settings'!$A$9,'員工更表輸入'!$B$5:$B$39,C$172),Lists!$C$23&lt;SUMIFS('員工更表輸入'!$F$5:$F$39,'員工更表輸入'!$A$5:$A$39,'設定 Settings'!$A$9,'員工更表輸入'!$B$5:$B$39,C$172)),"Break","Work"))</f>
        <v/>
      </c>
      <c r="D194" s="24">
        <f>IF(OR(SUMIFS('員工更表輸入'!$D$5:$D$39,'員工更表輸入'!$A$5:$A$39,'設定 Settings'!$A$9,'員工更表輸入'!$B$5:$B$39,D$172)&lt;=0,Lists!$C$23&lt;SUMIFS('員工更表輸入'!$C$5:$C$39,'員工更表輸入'!$A$5:$A$39,'設定 Settings'!$A$9,'員工更表輸入'!$B$5:$B$39,D$172),Lists!$C$23&gt;=SUMIFS('員工更表輸入'!$D$5:$D$39,'員工更表輸入'!$A$5:$A$39,'設定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Settings'!$A$9,'員工更表輸入'!$B$5:$B$39,D$172)&gt;0,Lists!$C$23&gt;=SUMIFS('員工更表輸入'!$E$5:$E$39,'員工更表輸入'!$A$5:$A$39,'設定 Settings'!$A$9,'員工更表輸入'!$B$5:$B$39,D$172),Lists!$C$23&lt;SUMIFS('員工更表輸入'!$F$5:$F$39,'員工更表輸入'!$A$5:$A$39,'設定 Settings'!$A$9,'員工更表輸入'!$B$5:$B$39,D$172)),"Break","Work"))</f>
        <v/>
      </c>
      <c r="E194" s="24">
        <f>IF(OR(SUMIFS('員工更表輸入'!$D$5:$D$39,'員工更表輸入'!$A$5:$A$39,'設定 Settings'!$A$9,'員工更表輸入'!$B$5:$B$39,E$172)&lt;=0,Lists!$C$23&lt;SUMIFS('員工更表輸入'!$C$5:$C$39,'員工更表輸入'!$A$5:$A$39,'設定 Settings'!$A$9,'員工更表輸入'!$B$5:$B$39,E$172),Lists!$C$23&gt;=SUMIFS('員工更表輸入'!$D$5:$D$39,'員工更表輸入'!$A$5:$A$39,'設定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Settings'!$A$9,'員工更表輸入'!$B$5:$B$39,E$172)&gt;0,Lists!$C$23&gt;=SUMIFS('員工更表輸入'!$E$5:$E$39,'員工更表輸入'!$A$5:$A$39,'設定 Settings'!$A$9,'員工更表輸入'!$B$5:$B$39,E$172),Lists!$C$23&lt;SUMIFS('員工更表輸入'!$F$5:$F$39,'員工更表輸入'!$A$5:$A$39,'設定 Settings'!$A$9,'員工更表輸入'!$B$5:$B$39,E$172)),"Break","Work"))</f>
        <v/>
      </c>
      <c r="F194" s="24">
        <f>IF(OR(SUMIFS('員工更表輸入'!$D$5:$D$39,'員工更表輸入'!$A$5:$A$39,'設定 Settings'!$A$9,'員工更表輸入'!$B$5:$B$39,F$172)&lt;=0,Lists!$C$23&lt;SUMIFS('員工更表輸入'!$C$5:$C$39,'員工更表輸入'!$A$5:$A$39,'設定 Settings'!$A$9,'員工更表輸入'!$B$5:$B$39,F$172),Lists!$C$23&gt;=SUMIFS('員工更表輸入'!$D$5:$D$39,'員工更表輸入'!$A$5:$A$39,'設定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Settings'!$A$9,'員工更表輸入'!$B$5:$B$39,F$172)&gt;0,Lists!$C$23&gt;=SUMIFS('員工更表輸入'!$E$5:$E$39,'員工更表輸入'!$A$5:$A$39,'設定 Settings'!$A$9,'員工更表輸入'!$B$5:$B$39,F$172),Lists!$C$23&lt;SUMIFS('員工更表輸入'!$F$5:$F$39,'員工更表輸入'!$A$5:$A$39,'設定 Settings'!$A$9,'員工更表輸入'!$B$5:$B$39,F$172)),"Break","Work"))</f>
        <v/>
      </c>
      <c r="G194" s="24">
        <f>IF(OR(SUMIFS('員工更表輸入'!$D$5:$D$39,'員工更表輸入'!$A$5:$A$39,'設定 Settings'!$A$9,'員工更表輸入'!$B$5:$B$39,G$172)&lt;=0,Lists!$C$23&lt;SUMIFS('員工更表輸入'!$C$5:$C$39,'員工更表輸入'!$A$5:$A$39,'設定 Settings'!$A$9,'員工更表輸入'!$B$5:$B$39,G$172),Lists!$C$23&gt;=SUMIFS('員工更表輸入'!$D$5:$D$39,'員工更表輸入'!$A$5:$A$39,'設定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Settings'!$A$9,'員工更表輸入'!$B$5:$B$39,G$172)&gt;0,Lists!$C$23&gt;=SUMIFS('員工更表輸入'!$E$5:$E$39,'員工更表輸入'!$A$5:$A$39,'設定 Settings'!$A$9,'員工更表輸入'!$B$5:$B$39,G$172),Lists!$C$23&lt;SUMIFS('員工更表輸入'!$F$5:$F$39,'員工更表輸入'!$A$5:$A$39,'設定 Settings'!$A$9,'員工更表輸入'!$B$5:$B$39,G$172)),"Break","Work"))</f>
        <v/>
      </c>
      <c r="H194" s="24">
        <f>IF(OR(SUMIFS('員工更表輸入'!$D$5:$D$39,'員工更表輸入'!$A$5:$A$39,'設定 Settings'!$A$9,'員工更表輸入'!$B$5:$B$39,H$172)&lt;=0,Lists!$C$23&lt;SUMIFS('員工更表輸入'!$C$5:$C$39,'員工更表輸入'!$A$5:$A$39,'設定 Settings'!$A$9,'員工更表輸入'!$B$5:$B$39,H$172),Lists!$C$23&gt;=SUMIFS('員工更表輸入'!$D$5:$D$39,'員工更表輸入'!$A$5:$A$39,'設定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Settings'!$A$9,'員工更表輸入'!$B$5:$B$39,H$172)&gt;0,Lists!$C$23&gt;=SUMIFS('員工更表輸入'!$E$5:$E$39,'員工更表輸入'!$A$5:$A$39,'設定 Settings'!$A$9,'員工更表輸入'!$B$5:$B$39,H$172),Lists!$C$23&lt;SUMIFS('員工更表輸入'!$F$5:$F$39,'員工更表輸入'!$A$5:$A$39,'設定 Settings'!$A$9,'員工更表輸入'!$B$5:$B$39,H$172)),"Break","Work"))</f>
        <v/>
      </c>
    </row>
    <row r="195">
      <c r="A195" s="22" t="inlineStr">
        <is>
          <t>8:45pm-9:15pm</t>
        </is>
      </c>
      <c r="B195" s="24">
        <f>IF(OR(SUMIFS('員工更表輸入'!$D$5:$D$39,'員工更表輸入'!$A$5:$A$39,'設定 Settings'!$A$9,'員工更表輸入'!$B$5:$B$39,B$172)&lt;=0,Lists!$C$24&lt;SUMIFS('員工更表輸入'!$C$5:$C$39,'員工更表輸入'!$A$5:$A$39,'設定 Settings'!$A$9,'員工更表輸入'!$B$5:$B$39,B$172),Lists!$C$24&gt;=SUMIFS('員工更表輸入'!$D$5:$D$39,'員工更表輸入'!$A$5:$A$39,'設定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Settings'!$A$9,'員工更表輸入'!$B$5:$B$39,B$172)&gt;0,Lists!$C$24&gt;=SUMIFS('員工更表輸入'!$E$5:$E$39,'員工更表輸入'!$A$5:$A$39,'設定 Settings'!$A$9,'員工更表輸入'!$B$5:$B$39,B$172),Lists!$C$24&lt;SUMIFS('員工更表輸入'!$F$5:$F$39,'員工更表輸入'!$A$5:$A$39,'設定 Settings'!$A$9,'員工更表輸入'!$B$5:$B$39,B$172)),"Break","Work"))</f>
        <v/>
      </c>
      <c r="C195" s="24">
        <f>IF(OR(SUMIFS('員工更表輸入'!$D$5:$D$39,'員工更表輸入'!$A$5:$A$39,'設定 Settings'!$A$9,'員工更表輸入'!$B$5:$B$39,C$172)&lt;=0,Lists!$C$24&lt;SUMIFS('員工更表輸入'!$C$5:$C$39,'員工更表輸入'!$A$5:$A$39,'設定 Settings'!$A$9,'員工更表輸入'!$B$5:$B$39,C$172),Lists!$C$24&gt;=SUMIFS('員工更表輸入'!$D$5:$D$39,'員工更表輸入'!$A$5:$A$39,'設定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Settings'!$A$9,'員工更表輸入'!$B$5:$B$39,C$172)&gt;0,Lists!$C$24&gt;=SUMIFS('員工更表輸入'!$E$5:$E$39,'員工更表輸入'!$A$5:$A$39,'設定 Settings'!$A$9,'員工更表輸入'!$B$5:$B$39,C$172),Lists!$C$24&lt;SUMIFS('員工更表輸入'!$F$5:$F$39,'員工更表輸入'!$A$5:$A$39,'設定 Settings'!$A$9,'員工更表輸入'!$B$5:$B$39,C$172)),"Break","Work"))</f>
        <v/>
      </c>
      <c r="D195" s="24">
        <f>IF(OR(SUMIFS('員工更表輸入'!$D$5:$D$39,'員工更表輸入'!$A$5:$A$39,'設定 Settings'!$A$9,'員工更表輸入'!$B$5:$B$39,D$172)&lt;=0,Lists!$C$24&lt;SUMIFS('員工更表輸入'!$C$5:$C$39,'員工更表輸入'!$A$5:$A$39,'設定 Settings'!$A$9,'員工更表輸入'!$B$5:$B$39,D$172),Lists!$C$24&gt;=SUMIFS('員工更表輸入'!$D$5:$D$39,'員工更表輸入'!$A$5:$A$39,'設定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Settings'!$A$9,'員工更表輸入'!$B$5:$B$39,D$172)&gt;0,Lists!$C$24&gt;=SUMIFS('員工更表輸入'!$E$5:$E$39,'員工更表輸入'!$A$5:$A$39,'設定 Settings'!$A$9,'員工更表輸入'!$B$5:$B$39,D$172),Lists!$C$24&lt;SUMIFS('員工更表輸入'!$F$5:$F$39,'員工更表輸入'!$A$5:$A$39,'設定 Settings'!$A$9,'員工更表輸入'!$B$5:$B$39,D$172)),"Break","Work"))</f>
        <v/>
      </c>
      <c r="E195" s="24">
        <f>IF(OR(SUMIFS('員工更表輸入'!$D$5:$D$39,'員工更表輸入'!$A$5:$A$39,'設定 Settings'!$A$9,'員工更表輸入'!$B$5:$B$39,E$172)&lt;=0,Lists!$C$24&lt;SUMIFS('員工更表輸入'!$C$5:$C$39,'員工更表輸入'!$A$5:$A$39,'設定 Settings'!$A$9,'員工更表輸入'!$B$5:$B$39,E$172),Lists!$C$24&gt;=SUMIFS('員工更表輸入'!$D$5:$D$39,'員工更表輸入'!$A$5:$A$39,'設定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Settings'!$A$9,'員工更表輸入'!$B$5:$B$39,E$172)&gt;0,Lists!$C$24&gt;=SUMIFS('員工更表輸入'!$E$5:$E$39,'員工更表輸入'!$A$5:$A$39,'設定 Settings'!$A$9,'員工更表輸入'!$B$5:$B$39,E$172),Lists!$C$24&lt;SUMIFS('員工更表輸入'!$F$5:$F$39,'員工更表輸入'!$A$5:$A$39,'設定 Settings'!$A$9,'員工更表輸入'!$B$5:$B$39,E$172)),"Break","Work"))</f>
        <v/>
      </c>
      <c r="F195" s="24">
        <f>IF(OR(SUMIFS('員工更表輸入'!$D$5:$D$39,'員工更表輸入'!$A$5:$A$39,'設定 Settings'!$A$9,'員工更表輸入'!$B$5:$B$39,F$172)&lt;=0,Lists!$C$24&lt;SUMIFS('員工更表輸入'!$C$5:$C$39,'員工更表輸入'!$A$5:$A$39,'設定 Settings'!$A$9,'員工更表輸入'!$B$5:$B$39,F$172),Lists!$C$24&gt;=SUMIFS('員工更表輸入'!$D$5:$D$39,'員工更表輸入'!$A$5:$A$39,'設定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Settings'!$A$9,'員工更表輸入'!$B$5:$B$39,F$172)&gt;0,Lists!$C$24&gt;=SUMIFS('員工更表輸入'!$E$5:$E$39,'員工更表輸入'!$A$5:$A$39,'設定 Settings'!$A$9,'員工更表輸入'!$B$5:$B$39,F$172),Lists!$C$24&lt;SUMIFS('員工更表輸入'!$F$5:$F$39,'員工更表輸入'!$A$5:$A$39,'設定 Settings'!$A$9,'員工更表輸入'!$B$5:$B$39,F$172)),"Break","Work"))</f>
        <v/>
      </c>
      <c r="G195" s="24">
        <f>IF(OR(SUMIFS('員工更表輸入'!$D$5:$D$39,'員工更表輸入'!$A$5:$A$39,'設定 Settings'!$A$9,'員工更表輸入'!$B$5:$B$39,G$172)&lt;=0,Lists!$C$24&lt;SUMIFS('員工更表輸入'!$C$5:$C$39,'員工更表輸入'!$A$5:$A$39,'設定 Settings'!$A$9,'員工更表輸入'!$B$5:$B$39,G$172),Lists!$C$24&gt;=SUMIFS('員工更表輸入'!$D$5:$D$39,'員工更表輸入'!$A$5:$A$39,'設定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Settings'!$A$9,'員工更表輸入'!$B$5:$B$39,G$172)&gt;0,Lists!$C$24&gt;=SUMIFS('員工更表輸入'!$E$5:$E$39,'員工更表輸入'!$A$5:$A$39,'設定 Settings'!$A$9,'員工更表輸入'!$B$5:$B$39,G$172),Lists!$C$24&lt;SUMIFS('員工更表輸入'!$F$5:$F$39,'員工更表輸入'!$A$5:$A$39,'設定 Settings'!$A$9,'員工更表輸入'!$B$5:$B$39,G$172)),"Break","Work"))</f>
        <v/>
      </c>
      <c r="H195" s="24">
        <f>IF(OR(SUMIFS('員工更表輸入'!$D$5:$D$39,'員工更表輸入'!$A$5:$A$39,'設定 Settings'!$A$9,'員工更表輸入'!$B$5:$B$39,H$172)&lt;=0,Lists!$C$24&lt;SUMIFS('員工更表輸入'!$C$5:$C$39,'員工更表輸入'!$A$5:$A$39,'設定 Settings'!$A$9,'員工更表輸入'!$B$5:$B$39,H$172),Lists!$C$24&gt;=SUMIFS('員工更表輸入'!$D$5:$D$39,'員工更表輸入'!$A$5:$A$39,'設定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Settings'!$A$9,'員工更表輸入'!$B$5:$B$39,H$172)&gt;0,Lists!$C$24&gt;=SUMIFS('員工更表輸入'!$E$5:$E$39,'員工更表輸入'!$A$5:$A$39,'設定 Settings'!$A$9,'員工更表輸入'!$B$5:$B$39,H$172),Lists!$C$24&lt;SUMIFS('員工更表輸入'!$F$5:$F$39,'員工更表輸入'!$A$5:$A$39,'設定 Settings'!$A$9,'員工更表輸入'!$B$5:$B$39,H$172)),"Break","Work"))</f>
        <v/>
      </c>
    </row>
    <row r="196">
      <c r="A196" s="22" t="inlineStr">
        <is>
          <t>9:15pm-9:45pm</t>
        </is>
      </c>
      <c r="B196" s="24">
        <f>IF(OR(SUMIFS('員工更表輸入'!$D$5:$D$39,'員工更表輸入'!$A$5:$A$39,'設定 Settings'!$A$9,'員工更表輸入'!$B$5:$B$39,B$172)&lt;=0,Lists!$C$25&lt;SUMIFS('員工更表輸入'!$C$5:$C$39,'員工更表輸入'!$A$5:$A$39,'設定 Settings'!$A$9,'員工更表輸入'!$B$5:$B$39,B$172),Lists!$C$25&gt;=SUMIFS('員工更表輸入'!$D$5:$D$39,'員工更表輸入'!$A$5:$A$39,'設定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Settings'!$A$9,'員工更表輸入'!$B$5:$B$39,B$172)&gt;0,Lists!$C$25&gt;=SUMIFS('員工更表輸入'!$E$5:$E$39,'員工更表輸入'!$A$5:$A$39,'設定 Settings'!$A$9,'員工更表輸入'!$B$5:$B$39,B$172),Lists!$C$25&lt;SUMIFS('員工更表輸入'!$F$5:$F$39,'員工更表輸入'!$A$5:$A$39,'設定 Settings'!$A$9,'員工更表輸入'!$B$5:$B$39,B$172)),"Break","Work"))</f>
        <v/>
      </c>
      <c r="C196" s="24">
        <f>IF(OR(SUMIFS('員工更表輸入'!$D$5:$D$39,'員工更表輸入'!$A$5:$A$39,'設定 Settings'!$A$9,'員工更表輸入'!$B$5:$B$39,C$172)&lt;=0,Lists!$C$25&lt;SUMIFS('員工更表輸入'!$C$5:$C$39,'員工更表輸入'!$A$5:$A$39,'設定 Settings'!$A$9,'員工更表輸入'!$B$5:$B$39,C$172),Lists!$C$25&gt;=SUMIFS('員工更表輸入'!$D$5:$D$39,'員工更表輸入'!$A$5:$A$39,'設定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Settings'!$A$9,'員工更表輸入'!$B$5:$B$39,C$172)&gt;0,Lists!$C$25&gt;=SUMIFS('員工更表輸入'!$E$5:$E$39,'員工更表輸入'!$A$5:$A$39,'設定 Settings'!$A$9,'員工更表輸入'!$B$5:$B$39,C$172),Lists!$C$25&lt;SUMIFS('員工更表輸入'!$F$5:$F$39,'員工更表輸入'!$A$5:$A$39,'設定 Settings'!$A$9,'員工更表輸入'!$B$5:$B$39,C$172)),"Break","Work"))</f>
        <v/>
      </c>
      <c r="D196" s="24">
        <f>IF(OR(SUMIFS('員工更表輸入'!$D$5:$D$39,'員工更表輸入'!$A$5:$A$39,'設定 Settings'!$A$9,'員工更表輸入'!$B$5:$B$39,D$172)&lt;=0,Lists!$C$25&lt;SUMIFS('員工更表輸入'!$C$5:$C$39,'員工更表輸入'!$A$5:$A$39,'設定 Settings'!$A$9,'員工更表輸入'!$B$5:$B$39,D$172),Lists!$C$25&gt;=SUMIFS('員工更表輸入'!$D$5:$D$39,'員工更表輸入'!$A$5:$A$39,'設定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Settings'!$A$9,'員工更表輸入'!$B$5:$B$39,D$172)&gt;0,Lists!$C$25&gt;=SUMIFS('員工更表輸入'!$E$5:$E$39,'員工更表輸入'!$A$5:$A$39,'設定 Settings'!$A$9,'員工更表輸入'!$B$5:$B$39,D$172),Lists!$C$25&lt;SUMIFS('員工更表輸入'!$F$5:$F$39,'員工更表輸入'!$A$5:$A$39,'設定 Settings'!$A$9,'員工更表輸入'!$B$5:$B$39,D$172)),"Break","Work"))</f>
        <v/>
      </c>
      <c r="E196" s="24">
        <f>IF(OR(SUMIFS('員工更表輸入'!$D$5:$D$39,'員工更表輸入'!$A$5:$A$39,'設定 Settings'!$A$9,'員工更表輸入'!$B$5:$B$39,E$172)&lt;=0,Lists!$C$25&lt;SUMIFS('員工更表輸入'!$C$5:$C$39,'員工更表輸入'!$A$5:$A$39,'設定 Settings'!$A$9,'員工更表輸入'!$B$5:$B$39,E$172),Lists!$C$25&gt;=SUMIFS('員工更表輸入'!$D$5:$D$39,'員工更表輸入'!$A$5:$A$39,'設定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Settings'!$A$9,'員工更表輸入'!$B$5:$B$39,E$172)&gt;0,Lists!$C$25&gt;=SUMIFS('員工更表輸入'!$E$5:$E$39,'員工更表輸入'!$A$5:$A$39,'設定 Settings'!$A$9,'員工更表輸入'!$B$5:$B$39,E$172),Lists!$C$25&lt;SUMIFS('員工更表輸入'!$F$5:$F$39,'員工更表輸入'!$A$5:$A$39,'設定 Settings'!$A$9,'員工更表輸入'!$B$5:$B$39,E$172)),"Break","Work"))</f>
        <v/>
      </c>
      <c r="F196" s="24">
        <f>IF(OR(SUMIFS('員工更表輸入'!$D$5:$D$39,'員工更表輸入'!$A$5:$A$39,'設定 Settings'!$A$9,'員工更表輸入'!$B$5:$B$39,F$172)&lt;=0,Lists!$C$25&lt;SUMIFS('員工更表輸入'!$C$5:$C$39,'員工更表輸入'!$A$5:$A$39,'設定 Settings'!$A$9,'員工更表輸入'!$B$5:$B$39,F$172),Lists!$C$25&gt;=SUMIFS('員工更表輸入'!$D$5:$D$39,'員工更表輸入'!$A$5:$A$39,'設定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Settings'!$A$9,'員工更表輸入'!$B$5:$B$39,F$172)&gt;0,Lists!$C$25&gt;=SUMIFS('員工更表輸入'!$E$5:$E$39,'員工更表輸入'!$A$5:$A$39,'設定 Settings'!$A$9,'員工更表輸入'!$B$5:$B$39,F$172),Lists!$C$25&lt;SUMIFS('員工更表輸入'!$F$5:$F$39,'員工更表輸入'!$A$5:$A$39,'設定 Settings'!$A$9,'員工更表輸入'!$B$5:$B$39,F$172)),"Break","Work"))</f>
        <v/>
      </c>
      <c r="G196" s="24">
        <f>IF(OR(SUMIFS('員工更表輸入'!$D$5:$D$39,'員工更表輸入'!$A$5:$A$39,'設定 Settings'!$A$9,'員工更表輸入'!$B$5:$B$39,G$172)&lt;=0,Lists!$C$25&lt;SUMIFS('員工更表輸入'!$C$5:$C$39,'員工更表輸入'!$A$5:$A$39,'設定 Settings'!$A$9,'員工更表輸入'!$B$5:$B$39,G$172),Lists!$C$25&gt;=SUMIFS('員工更表輸入'!$D$5:$D$39,'員工更表輸入'!$A$5:$A$39,'設定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Settings'!$A$9,'員工更表輸入'!$B$5:$B$39,G$172)&gt;0,Lists!$C$25&gt;=SUMIFS('員工更表輸入'!$E$5:$E$39,'員工更表輸入'!$A$5:$A$39,'設定 Settings'!$A$9,'員工更表輸入'!$B$5:$B$39,G$172),Lists!$C$25&lt;SUMIFS('員工更表輸入'!$F$5:$F$39,'員工更表輸入'!$A$5:$A$39,'設定 Settings'!$A$9,'員工更表輸入'!$B$5:$B$39,G$172)),"Break","Work"))</f>
        <v/>
      </c>
      <c r="H196" s="24">
        <f>IF(OR(SUMIFS('員工更表輸入'!$D$5:$D$39,'員工更表輸入'!$A$5:$A$39,'設定 Settings'!$A$9,'員工更表輸入'!$B$5:$B$39,H$172)&lt;=0,Lists!$C$25&lt;SUMIFS('員工更表輸入'!$C$5:$C$39,'員工更表輸入'!$A$5:$A$39,'設定 Settings'!$A$9,'員工更表輸入'!$B$5:$B$39,H$172),Lists!$C$25&gt;=SUMIFS('員工更表輸入'!$D$5:$D$39,'員工更表輸入'!$A$5:$A$39,'設定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Settings'!$A$9,'員工更表輸入'!$B$5:$B$39,H$172)&gt;0,Lists!$C$25&gt;=SUMIFS('員工更表輸入'!$E$5:$E$39,'員工更表輸入'!$A$5:$A$39,'設定 Settings'!$A$9,'員工更表輸入'!$B$5:$B$39,H$172),Lists!$C$25&lt;SUMIFS('員工更表輸入'!$F$5:$F$39,'員工更表輸入'!$A$5:$A$39,'設定 Settings'!$A$9,'員工更表輸入'!$B$5:$B$39,H$172)),"Break","Work"))</f>
        <v/>
      </c>
    </row>
    <row r="197">
      <c r="A197" s="22" t="inlineStr">
        <is>
          <t>9:45pm-10:15pm</t>
        </is>
      </c>
      <c r="B197" s="24">
        <f>IF(OR(SUMIFS('員工更表輸入'!$D$5:$D$39,'員工更表輸入'!$A$5:$A$39,'設定 Settings'!$A$9,'員工更表輸入'!$B$5:$B$39,B$172)&lt;=0,Lists!$C$26&lt;SUMIFS('員工更表輸入'!$C$5:$C$39,'員工更表輸入'!$A$5:$A$39,'設定 Settings'!$A$9,'員工更表輸入'!$B$5:$B$39,B$172),Lists!$C$26&gt;=SUMIFS('員工更表輸入'!$D$5:$D$39,'員工更表輸入'!$A$5:$A$39,'設定 Settings'!$A$9,'員工更表輸入'!$B$5:$B$39,B$172)),"",IF(AND(SUMIFS('員工更表輸入'!$F$5:$F$39,'員工更表輸入'!$A$5:$A$39,'設定 Settings'!$A$9,'員工更表輸入'!$B$5:$B$39,B$172)&gt;0,Lists!$C$26&gt;=SUMIFS('員工更表輸入'!$E$5:$E$39,'員工更表輸入'!$A$5:$A$39,'設定 Settings'!$A$9,'員工更表輸入'!$B$5:$B$39,B$172),Lists!$C$26&lt;SUMIFS('員工更表輸入'!$F$5:$F$39,'員工更表輸入'!$A$5:$A$39,'設定 Settings'!$A$9,'員工更表輸入'!$B$5:$B$39,B$172)),"Break","Work"))</f>
        <v/>
      </c>
      <c r="C197" s="24">
        <f>IF(OR(SUMIFS('員工更表輸入'!$D$5:$D$39,'員工更表輸入'!$A$5:$A$39,'設定 Settings'!$A$9,'員工更表輸入'!$B$5:$B$39,C$172)&lt;=0,Lists!$C$26&lt;SUMIFS('員工更表輸入'!$C$5:$C$39,'員工更表輸入'!$A$5:$A$39,'設定 Settings'!$A$9,'員工更表輸入'!$B$5:$B$39,C$172),Lists!$C$26&gt;=SUMIFS('員工更表輸入'!$D$5:$D$39,'員工更表輸入'!$A$5:$A$39,'設定 Settings'!$A$9,'員工更表輸入'!$B$5:$B$39,C$172)),"",IF(AND(SUMIFS('員工更表輸入'!$F$5:$F$39,'員工更表輸入'!$A$5:$A$39,'設定 Settings'!$A$9,'員工更表輸入'!$B$5:$B$39,C$172)&gt;0,Lists!$C$26&gt;=SUMIFS('員工更表輸入'!$E$5:$E$39,'員工更表輸入'!$A$5:$A$39,'設定 Settings'!$A$9,'員工更表輸入'!$B$5:$B$39,C$172),Lists!$C$26&lt;SUMIFS('員工更表輸入'!$F$5:$F$39,'員工更表輸入'!$A$5:$A$39,'設定 Settings'!$A$9,'員工更表輸入'!$B$5:$B$39,C$172)),"Break","Work"))</f>
        <v/>
      </c>
      <c r="D197" s="24">
        <f>IF(OR(SUMIFS('員工更表輸入'!$D$5:$D$39,'員工更表輸入'!$A$5:$A$39,'設定 Settings'!$A$9,'員工更表輸入'!$B$5:$B$39,D$172)&lt;=0,Lists!$C$26&lt;SUMIFS('員工更表輸入'!$C$5:$C$39,'員工更表輸入'!$A$5:$A$39,'設定 Settings'!$A$9,'員工更表輸入'!$B$5:$B$39,D$172),Lists!$C$26&gt;=SUMIFS('員工更表輸入'!$D$5:$D$39,'員工更表輸入'!$A$5:$A$39,'設定 Settings'!$A$9,'員工更表輸入'!$B$5:$B$39,D$172)),"",IF(AND(SUMIFS('員工更表輸入'!$F$5:$F$39,'員工更表輸入'!$A$5:$A$39,'設定 Settings'!$A$9,'員工更表輸入'!$B$5:$B$39,D$172)&gt;0,Lists!$C$26&gt;=SUMIFS('員工更表輸入'!$E$5:$E$39,'員工更表輸入'!$A$5:$A$39,'設定 Settings'!$A$9,'員工更表輸入'!$B$5:$B$39,D$172),Lists!$C$26&lt;SUMIFS('員工更表輸入'!$F$5:$F$39,'員工更表輸入'!$A$5:$A$39,'設定 Settings'!$A$9,'員工更表輸入'!$B$5:$B$39,D$172)),"Break","Work"))</f>
        <v/>
      </c>
      <c r="E197" s="24">
        <f>IF(OR(SUMIFS('員工更表輸入'!$D$5:$D$39,'員工更表輸入'!$A$5:$A$39,'設定 Settings'!$A$9,'員工更表輸入'!$B$5:$B$39,E$172)&lt;=0,Lists!$C$26&lt;SUMIFS('員工更表輸入'!$C$5:$C$39,'員工更表輸入'!$A$5:$A$39,'設定 Settings'!$A$9,'員工更表輸入'!$B$5:$B$39,E$172),Lists!$C$26&gt;=SUMIFS('員工更表輸入'!$D$5:$D$39,'員工更表輸入'!$A$5:$A$39,'設定 Settings'!$A$9,'員工更表輸入'!$B$5:$B$39,E$172)),"",IF(AND(SUMIFS('員工更表輸入'!$F$5:$F$39,'員工更表輸入'!$A$5:$A$39,'設定 Settings'!$A$9,'員工更表輸入'!$B$5:$B$39,E$172)&gt;0,Lists!$C$26&gt;=SUMIFS('員工更表輸入'!$E$5:$E$39,'員工更表輸入'!$A$5:$A$39,'設定 Settings'!$A$9,'員工更表輸入'!$B$5:$B$39,E$172),Lists!$C$26&lt;SUMIFS('員工更表輸入'!$F$5:$F$39,'員工更表輸入'!$A$5:$A$39,'設定 Settings'!$A$9,'員工更表輸入'!$B$5:$B$39,E$172)),"Break","Work"))</f>
        <v/>
      </c>
      <c r="F197" s="24">
        <f>IF(OR(SUMIFS('員工更表輸入'!$D$5:$D$39,'員工更表輸入'!$A$5:$A$39,'設定 Settings'!$A$9,'員工更表輸入'!$B$5:$B$39,F$172)&lt;=0,Lists!$C$26&lt;SUMIFS('員工更表輸入'!$C$5:$C$39,'員工更表輸入'!$A$5:$A$39,'設定 Settings'!$A$9,'員工更表輸入'!$B$5:$B$39,F$172),Lists!$C$26&gt;=SUMIFS('員工更表輸入'!$D$5:$D$39,'員工更表輸入'!$A$5:$A$39,'設定 Settings'!$A$9,'員工更表輸入'!$B$5:$B$39,F$172)),"",IF(AND(SUMIFS('員工更表輸入'!$F$5:$F$39,'員工更表輸入'!$A$5:$A$39,'設定 Settings'!$A$9,'員工更表輸入'!$B$5:$B$39,F$172)&gt;0,Lists!$C$26&gt;=SUMIFS('員工更表輸入'!$E$5:$E$39,'員工更表輸入'!$A$5:$A$39,'設定 Settings'!$A$9,'員工更表輸入'!$B$5:$B$39,F$172),Lists!$C$26&lt;SUMIFS('員工更表輸入'!$F$5:$F$39,'員工更表輸入'!$A$5:$A$39,'設定 Settings'!$A$9,'員工更表輸入'!$B$5:$B$39,F$172)),"Break","Work"))</f>
        <v/>
      </c>
      <c r="G197" s="24">
        <f>IF(OR(SUMIFS('員工更表輸入'!$D$5:$D$39,'員工更表輸入'!$A$5:$A$39,'設定 Settings'!$A$9,'員工更表輸入'!$B$5:$B$39,G$172)&lt;=0,Lists!$C$26&lt;SUMIFS('員工更表輸入'!$C$5:$C$39,'員工更表輸入'!$A$5:$A$39,'設定 Settings'!$A$9,'員工更表輸入'!$B$5:$B$39,G$172),Lists!$C$26&gt;=SUMIFS('員工更表輸入'!$D$5:$D$39,'員工更表輸入'!$A$5:$A$39,'設定 Settings'!$A$9,'員工更表輸入'!$B$5:$B$39,G$172)),"",IF(AND(SUMIFS('員工更表輸入'!$F$5:$F$39,'員工更表輸入'!$A$5:$A$39,'設定 Settings'!$A$9,'員工更表輸入'!$B$5:$B$39,G$172)&gt;0,Lists!$C$26&gt;=SUMIFS('員工更表輸入'!$E$5:$E$39,'員工更表輸入'!$A$5:$A$39,'設定 Settings'!$A$9,'員工更表輸入'!$B$5:$B$39,G$172),Lists!$C$26&lt;SUMIFS('員工更表輸入'!$F$5:$F$39,'員工更表輸入'!$A$5:$A$39,'設定 Settings'!$A$9,'員工更表輸入'!$B$5:$B$39,G$172)),"Break","Work"))</f>
        <v/>
      </c>
      <c r="H197" s="24">
        <f>IF(OR(SUMIFS('員工更表輸入'!$D$5:$D$39,'員工更表輸入'!$A$5:$A$39,'設定 Settings'!$A$9,'員工更表輸入'!$B$5:$B$39,H$172)&lt;=0,Lists!$C$26&lt;SUMIFS('員工更表輸入'!$C$5:$C$39,'員工更表輸入'!$A$5:$A$39,'設定 Settings'!$A$9,'員工更表輸入'!$B$5:$B$39,H$172),Lists!$C$26&gt;=SUMIFS('員工更表輸入'!$D$5:$D$39,'員工更表輸入'!$A$5:$A$39,'設定 Settings'!$A$9,'員工更表輸入'!$B$5:$B$39,H$172)),"",IF(AND(SUMIFS('員工更表輸入'!$F$5:$F$39,'員工更表輸入'!$A$5:$A$39,'設定 Settings'!$A$9,'員工更表輸入'!$B$5:$B$39,H$172)&gt;0,Lists!$C$26&gt;=SUMIFS('員工更表輸入'!$E$5:$E$39,'員工更表輸入'!$A$5:$A$39,'設定 Settings'!$A$9,'員工更表輸入'!$B$5:$B$39,H$172),Lists!$C$26&lt;SUMIFS('員工更表輸入'!$F$5:$F$39,'員工更表輸入'!$A$5:$A$39,'設定 Settings'!$A$9,'員工更表輸入'!$B$5:$B$39,H$172)),"Break","Work"))</f>
        <v/>
      </c>
    </row>
  </sheetData>
  <mergeCells count="9">
    <mergeCell ref="A143:H143"/>
    <mergeCell ref="A3:H3"/>
    <mergeCell ref="A87:H87"/>
    <mergeCell ref="A59:H59"/>
    <mergeCell ref="A171:H171"/>
    <mergeCell ref="A2:H2"/>
    <mergeCell ref="A115:H115"/>
    <mergeCell ref="A1:H1"/>
    <mergeCell ref="A31:H31"/>
  </mergeCells>
  <conditionalFormatting sqref="B61:H85">
    <cfRule type="cellIs" priority="1" operator="equal" dxfId="1">
      <formula>"Work"</formula>
    </cfRule>
    <cfRule type="cellIs" priority="2" operator="equal" dxfId="2">
      <formula>"Break"</formula>
    </cfRule>
  </conditionalFormatting>
  <conditionalFormatting sqref="B89:H113">
    <cfRule type="cellIs" priority="3" operator="equal" dxfId="3">
      <formula>"Work"</formula>
    </cfRule>
    <cfRule type="cellIs" priority="4" operator="equal" dxfId="2">
      <formula>"Break"</formula>
    </cfRule>
  </conditionalFormatting>
  <conditionalFormatting sqref="B117:H141">
    <cfRule type="cellIs" priority="5" operator="equal" dxfId="4">
      <formula>"Work"</formula>
    </cfRule>
    <cfRule type="cellIs" priority="6" operator="equal" dxfId="2">
      <formula>"Break"</formula>
    </cfRule>
  </conditionalFormatting>
  <conditionalFormatting sqref="B145:H169">
    <cfRule type="cellIs" priority="7" operator="equal" dxfId="5">
      <formula>"Work"</formula>
    </cfRule>
    <cfRule type="cellIs" priority="8" operator="equal" dxfId="2">
      <formula>"Break"</formula>
    </cfRule>
  </conditionalFormatting>
  <conditionalFormatting sqref="B173:H197">
    <cfRule type="cellIs" priority="9" operator="equal" dxfId="6">
      <formula>"Work"</formula>
    </cfRule>
    <cfRule type="cellIs" priority="10" operator="equal" dxfId="2">
      <formula>"Break"</formula>
    </cfRule>
  </conditionalFormatting>
  <conditionalFormatting sqref="B5:H29">
    <cfRule type="expression" priority="11" dxfId="7" stopIfTrue="1">
      <formula>B5=0</formula>
    </cfRule>
    <cfRule type="expression" priority="12" dxfId="8" stopIfTrue="1">
      <formula>AND(B5&gt;0,B5&lt;Z5)</formula>
    </cfRule>
    <cfRule type="expression" priority="13" dxfId="9">
      <formula>B5&gt;=Z5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Summary 總覽 Dashboard</t>
        </is>
      </c>
    </row>
    <row r="3">
      <c r="A3" s="4" t="inlineStr">
        <is>
          <t>① 員工工時 (每日 / 每週) 與長短週目標達成</t>
        </is>
      </c>
    </row>
    <row r="4">
      <c r="A4" s="30" t="inlineStr">
        <is>
          <t>員工</t>
        </is>
      </c>
      <c r="B4" s="31" t="inlineStr">
        <is>
          <t>星期一</t>
        </is>
      </c>
      <c r="C4" s="31" t="inlineStr">
        <is>
          <t>星期二</t>
        </is>
      </c>
      <c r="D4" s="31" t="inlineStr">
        <is>
          <t>星期三</t>
        </is>
      </c>
      <c r="E4" s="31" t="inlineStr">
        <is>
          <t>星期四</t>
        </is>
      </c>
      <c r="F4" s="31" t="inlineStr">
        <is>
          <t>星期五</t>
        </is>
      </c>
      <c r="G4" s="32" t="inlineStr">
        <is>
          <t>星期六</t>
        </is>
      </c>
      <c r="H4" s="32" t="inlineStr">
        <is>
          <t>星期日</t>
        </is>
      </c>
      <c r="I4" s="31" t="inlineStr">
        <is>
          <t>每週總計</t>
        </is>
      </c>
      <c r="J4" s="31" t="inlineStr">
        <is>
          <t>類型</t>
        </is>
      </c>
      <c r="K4" s="31" t="inlineStr">
        <is>
          <t>目標時數</t>
        </is>
      </c>
      <c r="L4" s="31" t="inlineStr">
        <is>
          <t>差異</t>
        </is>
      </c>
      <c r="M4" s="31" t="inlineStr">
        <is>
          <t>達標</t>
        </is>
      </c>
    </row>
    <row r="5">
      <c r="A5" s="33">
        <f>'設定 Settings'!$A$5</f>
        <v/>
      </c>
      <c r="B5" s="20">
        <f>SUMIFS('員工更表輸入'!$G$5:$G$39,'員工更表輸入'!$A$5:$A$39,'設定 Settings'!$A$5,'員工更表輸入'!$B$5:$B$39,"星期一")</f>
        <v/>
      </c>
      <c r="C5" s="20">
        <f>SUMIFS('員工更表輸入'!$G$5:$G$39,'員工更表輸入'!$A$5:$A$39,'設定 Settings'!$A$5,'員工更表輸入'!$B$5:$B$39,"星期二")</f>
        <v/>
      </c>
      <c r="D5" s="20">
        <f>SUMIFS('員工更表輸入'!$G$5:$G$39,'員工更表輸入'!$A$5:$A$39,'設定 Settings'!$A$5,'員工更表輸入'!$B$5:$B$39,"星期三")</f>
        <v/>
      </c>
      <c r="E5" s="20">
        <f>SUMIFS('員工更表輸入'!$G$5:$G$39,'員工更表輸入'!$A$5:$A$39,'設定 Settings'!$A$5,'員工更表輸入'!$B$5:$B$39,"星期四")</f>
        <v/>
      </c>
      <c r="F5" s="20">
        <f>SUMIFS('員工更表輸入'!$G$5:$G$39,'員工更表輸入'!$A$5:$A$39,'設定 Settings'!$A$5,'員工更表輸入'!$B$5:$B$39,"星期五")</f>
        <v/>
      </c>
      <c r="G5" s="20">
        <f>SUMIFS('員工更表輸入'!$G$5:$G$39,'員工更表輸入'!$A$5:$A$39,'設定 Settings'!$A$5,'員工更表輸入'!$B$5:$B$39,"星期六")</f>
        <v/>
      </c>
      <c r="H5" s="20">
        <f>SUMIFS('員工更表輸入'!$G$5:$G$39,'員工更表輸入'!$A$5:$A$39,'設定 Settings'!$A$5,'員工更表輸入'!$B$5:$B$39,"星期日")</f>
        <v/>
      </c>
      <c r="I5" s="34">
        <f>SUM(B5:H5)</f>
        <v/>
      </c>
      <c r="J5" s="18">
        <f>'設定 Settings'!$C$5</f>
        <v/>
      </c>
      <c r="K5" s="20">
        <f>IF('設定 Settings'!$C$5="全職",IF('設定 Settings'!$D$5="",IF('設定 Settings'!$B$29="長週",'設定 Settings'!$B$30,'設定 Settings'!$B$31),'設定 Settings'!$D$5),'設定 Settings'!$D$5)</f>
        <v/>
      </c>
      <c r="L5" s="35">
        <f>I5-K5</f>
        <v/>
      </c>
      <c r="M5" s="18">
        <f>IF(K5=0,"-",IF(I5&gt;=K5,"達標","不足"))</f>
        <v/>
      </c>
    </row>
    <row r="6">
      <c r="A6" s="33">
        <f>'設定 Settings'!$A$6</f>
        <v/>
      </c>
      <c r="B6" s="20">
        <f>SUMIFS('員工更表輸入'!$G$5:$G$39,'員工更表輸入'!$A$5:$A$39,'設定 Settings'!$A$6,'員工更表輸入'!$B$5:$B$39,"星期一")</f>
        <v/>
      </c>
      <c r="C6" s="20">
        <f>SUMIFS('員工更表輸入'!$G$5:$G$39,'員工更表輸入'!$A$5:$A$39,'設定 Settings'!$A$6,'員工更表輸入'!$B$5:$B$39,"星期二")</f>
        <v/>
      </c>
      <c r="D6" s="20">
        <f>SUMIFS('員工更表輸入'!$G$5:$G$39,'員工更表輸入'!$A$5:$A$39,'設定 Settings'!$A$6,'員工更表輸入'!$B$5:$B$39,"星期三")</f>
        <v/>
      </c>
      <c r="E6" s="20">
        <f>SUMIFS('員工更表輸入'!$G$5:$G$39,'員工更表輸入'!$A$5:$A$39,'設定 Settings'!$A$6,'員工更表輸入'!$B$5:$B$39,"星期四")</f>
        <v/>
      </c>
      <c r="F6" s="20">
        <f>SUMIFS('員工更表輸入'!$G$5:$G$39,'員工更表輸入'!$A$5:$A$39,'設定 Settings'!$A$6,'員工更表輸入'!$B$5:$B$39,"星期五")</f>
        <v/>
      </c>
      <c r="G6" s="20">
        <f>SUMIFS('員工更表輸入'!$G$5:$G$39,'員工更表輸入'!$A$5:$A$39,'設定 Settings'!$A$6,'員工更表輸入'!$B$5:$B$39,"星期六")</f>
        <v/>
      </c>
      <c r="H6" s="20">
        <f>SUMIFS('員工更表輸入'!$G$5:$G$39,'員工更表輸入'!$A$5:$A$39,'設定 Settings'!$A$6,'員工更表輸入'!$B$5:$B$39,"星期日")</f>
        <v/>
      </c>
      <c r="I6" s="34">
        <f>SUM(B6:H6)</f>
        <v/>
      </c>
      <c r="J6" s="18">
        <f>'設定 Settings'!$C$6</f>
        <v/>
      </c>
      <c r="K6" s="20">
        <f>IF('設定 Settings'!$C$6="全職",IF('設定 Settings'!$D$6="",IF('設定 Settings'!$B$29="長週",'設定 Settings'!$B$30,'設定 Settings'!$B$31),'設定 Settings'!$D$6),'設定 Settings'!$D$6)</f>
        <v/>
      </c>
      <c r="L6" s="35">
        <f>I6-K6</f>
        <v/>
      </c>
      <c r="M6" s="18">
        <f>IF(K6=0,"-",IF(I6&gt;=K6,"達標","不足"))</f>
        <v/>
      </c>
    </row>
    <row r="7">
      <c r="A7" s="33">
        <f>'設定 Settings'!$A$7</f>
        <v/>
      </c>
      <c r="B7" s="20">
        <f>SUMIFS('員工更表輸入'!$G$5:$G$39,'員工更表輸入'!$A$5:$A$39,'設定 Settings'!$A$7,'員工更表輸入'!$B$5:$B$39,"星期一")</f>
        <v/>
      </c>
      <c r="C7" s="20">
        <f>SUMIFS('員工更表輸入'!$G$5:$G$39,'員工更表輸入'!$A$5:$A$39,'設定 Settings'!$A$7,'員工更表輸入'!$B$5:$B$39,"星期二")</f>
        <v/>
      </c>
      <c r="D7" s="20">
        <f>SUMIFS('員工更表輸入'!$G$5:$G$39,'員工更表輸入'!$A$5:$A$39,'設定 Settings'!$A$7,'員工更表輸入'!$B$5:$B$39,"星期三")</f>
        <v/>
      </c>
      <c r="E7" s="20">
        <f>SUMIFS('員工更表輸入'!$G$5:$G$39,'員工更表輸入'!$A$5:$A$39,'設定 Settings'!$A$7,'員工更表輸入'!$B$5:$B$39,"星期四")</f>
        <v/>
      </c>
      <c r="F7" s="20">
        <f>SUMIFS('員工更表輸入'!$G$5:$G$39,'員工更表輸入'!$A$5:$A$39,'設定 Settings'!$A$7,'員工更表輸入'!$B$5:$B$39,"星期五")</f>
        <v/>
      </c>
      <c r="G7" s="20">
        <f>SUMIFS('員工更表輸入'!$G$5:$G$39,'員工更表輸入'!$A$5:$A$39,'設定 Settings'!$A$7,'員工更表輸入'!$B$5:$B$39,"星期六")</f>
        <v/>
      </c>
      <c r="H7" s="20">
        <f>SUMIFS('員工更表輸入'!$G$5:$G$39,'員工更表輸入'!$A$5:$A$39,'設定 Settings'!$A$7,'員工更表輸入'!$B$5:$B$39,"星期日")</f>
        <v/>
      </c>
      <c r="I7" s="34">
        <f>SUM(B7:H7)</f>
        <v/>
      </c>
      <c r="J7" s="18">
        <f>'設定 Settings'!$C$7</f>
        <v/>
      </c>
      <c r="K7" s="20">
        <f>IF('設定 Settings'!$C$7="全職",IF('設定 Settings'!$D$7="",IF('設定 Settings'!$B$29="長週",'設定 Settings'!$B$30,'設定 Settings'!$B$31),'設定 Settings'!$D$7),'設定 Settings'!$D$7)</f>
        <v/>
      </c>
      <c r="L7" s="35">
        <f>I7-K7</f>
        <v/>
      </c>
      <c r="M7" s="18">
        <f>IF(K7=0,"-",IF(I7&gt;=K7,"達標","不足"))</f>
        <v/>
      </c>
    </row>
    <row r="8">
      <c r="A8" s="33">
        <f>'設定 Settings'!$A$8</f>
        <v/>
      </c>
      <c r="B8" s="20">
        <f>SUMIFS('員工更表輸入'!$G$5:$G$39,'員工更表輸入'!$A$5:$A$39,'設定 Settings'!$A$8,'員工更表輸入'!$B$5:$B$39,"星期一")</f>
        <v/>
      </c>
      <c r="C8" s="20">
        <f>SUMIFS('員工更表輸入'!$G$5:$G$39,'員工更表輸入'!$A$5:$A$39,'設定 Settings'!$A$8,'員工更表輸入'!$B$5:$B$39,"星期二")</f>
        <v/>
      </c>
      <c r="D8" s="20">
        <f>SUMIFS('員工更表輸入'!$G$5:$G$39,'員工更表輸入'!$A$5:$A$39,'設定 Settings'!$A$8,'員工更表輸入'!$B$5:$B$39,"星期三")</f>
        <v/>
      </c>
      <c r="E8" s="20">
        <f>SUMIFS('員工更表輸入'!$G$5:$G$39,'員工更表輸入'!$A$5:$A$39,'設定 Settings'!$A$8,'員工更表輸入'!$B$5:$B$39,"星期四")</f>
        <v/>
      </c>
      <c r="F8" s="20">
        <f>SUMIFS('員工更表輸入'!$G$5:$G$39,'員工更表輸入'!$A$5:$A$39,'設定 Settings'!$A$8,'員工更表輸入'!$B$5:$B$39,"星期五")</f>
        <v/>
      </c>
      <c r="G8" s="20">
        <f>SUMIFS('員工更表輸入'!$G$5:$G$39,'員工更表輸入'!$A$5:$A$39,'設定 Settings'!$A$8,'員工更表輸入'!$B$5:$B$39,"星期六")</f>
        <v/>
      </c>
      <c r="H8" s="20">
        <f>SUMIFS('員工更表輸入'!$G$5:$G$39,'員工更表輸入'!$A$5:$A$39,'設定 Settings'!$A$8,'員工更表輸入'!$B$5:$B$39,"星期日")</f>
        <v/>
      </c>
      <c r="I8" s="34">
        <f>SUM(B8:H8)</f>
        <v/>
      </c>
      <c r="J8" s="18">
        <f>'設定 Settings'!$C$8</f>
        <v/>
      </c>
      <c r="K8" s="20">
        <f>IF('設定 Settings'!$C$8="全職",IF('設定 Settings'!$D$8="",IF('設定 Settings'!$B$29="長週",'設定 Settings'!$B$30,'設定 Settings'!$B$31),'設定 Settings'!$D$8),'設定 Settings'!$D$8)</f>
        <v/>
      </c>
      <c r="L8" s="35">
        <f>I8-K8</f>
        <v/>
      </c>
      <c r="M8" s="18">
        <f>IF(K8=0,"-",IF(I8&gt;=K8,"達標","不足"))</f>
        <v/>
      </c>
    </row>
    <row r="9">
      <c r="A9" s="33">
        <f>'設定 Settings'!$A$9</f>
        <v/>
      </c>
      <c r="B9" s="20">
        <f>SUMIFS('員工更表輸入'!$G$5:$G$39,'員工更表輸入'!$A$5:$A$39,'設定 Settings'!$A$9,'員工更表輸入'!$B$5:$B$39,"星期一")</f>
        <v/>
      </c>
      <c r="C9" s="20">
        <f>SUMIFS('員工更表輸入'!$G$5:$G$39,'員工更表輸入'!$A$5:$A$39,'設定 Settings'!$A$9,'員工更表輸入'!$B$5:$B$39,"星期二")</f>
        <v/>
      </c>
      <c r="D9" s="20">
        <f>SUMIFS('員工更表輸入'!$G$5:$G$39,'員工更表輸入'!$A$5:$A$39,'設定 Settings'!$A$9,'員工更表輸入'!$B$5:$B$39,"星期三")</f>
        <v/>
      </c>
      <c r="E9" s="20">
        <f>SUMIFS('員工更表輸入'!$G$5:$G$39,'員工更表輸入'!$A$5:$A$39,'設定 Settings'!$A$9,'員工更表輸入'!$B$5:$B$39,"星期四")</f>
        <v/>
      </c>
      <c r="F9" s="20">
        <f>SUMIFS('員工更表輸入'!$G$5:$G$39,'員工更表輸入'!$A$5:$A$39,'設定 Settings'!$A$9,'員工更表輸入'!$B$5:$B$39,"星期五")</f>
        <v/>
      </c>
      <c r="G9" s="20">
        <f>SUMIFS('員工更表輸入'!$G$5:$G$39,'員工更表輸入'!$A$5:$A$39,'設定 Settings'!$A$9,'員工更表輸入'!$B$5:$B$39,"星期六")</f>
        <v/>
      </c>
      <c r="H9" s="20">
        <f>SUMIFS('員工更表輸入'!$G$5:$G$39,'員工更表輸入'!$A$5:$A$39,'設定 Settings'!$A$9,'員工更表輸入'!$B$5:$B$39,"星期日")</f>
        <v/>
      </c>
      <c r="I9" s="34">
        <f>SUM(B9:H9)</f>
        <v/>
      </c>
      <c r="J9" s="18">
        <f>'設定 Settings'!$C$9</f>
        <v/>
      </c>
      <c r="K9" s="20">
        <f>IF('設定 Settings'!$C$9="全職",IF('設定 Settings'!$D$9="",IF('設定 Settings'!$B$29="長週",'設定 Settings'!$B$30,'設定 Settings'!$B$31),'設定 Settings'!$D$9),'設定 Settings'!$D$9)</f>
        <v/>
      </c>
      <c r="L9" s="35">
        <f>I9-K9</f>
        <v/>
      </c>
      <c r="M9" s="18">
        <f>IF(K9=0,"-",IF(I9&gt;=K9,"達標","不足"))</f>
        <v/>
      </c>
    </row>
    <row r="11">
      <c r="A11" s="6" t="inlineStr">
        <is>
          <t>工時最多</t>
        </is>
      </c>
      <c r="B11">
        <f>INDEX(A5:A9,MATCH(MAX(I5:I9),I5:I9,0))</f>
        <v/>
      </c>
      <c r="C11" s="15">
        <f>MAX(I5:I9)</f>
        <v/>
      </c>
    </row>
    <row r="12">
      <c r="A12" s="6" t="inlineStr">
        <is>
          <t>工時最少</t>
        </is>
      </c>
      <c r="B12">
        <f>INDEX(A5:A9,MATCH(MIN(I5:I9),I5:I9,0))</f>
        <v/>
      </c>
      <c r="C12" s="15">
        <f>MIN(I5:I9)</f>
        <v/>
      </c>
    </row>
    <row r="14">
      <c r="A14" s="4" t="inlineStr">
        <is>
          <t>② 每日人手覆蓋概況</t>
        </is>
      </c>
    </row>
    <row r="15">
      <c r="A15" s="30" t="inlineStr">
        <is>
          <t>指標</t>
        </is>
      </c>
      <c r="B15" s="31" t="inlineStr">
        <is>
          <t>星期一</t>
        </is>
      </c>
      <c r="C15" s="31" t="inlineStr">
        <is>
          <t>星期二</t>
        </is>
      </c>
      <c r="D15" s="31" t="inlineStr">
        <is>
          <t>星期三</t>
        </is>
      </c>
      <c r="E15" s="31" t="inlineStr">
        <is>
          <t>星期四</t>
        </is>
      </c>
      <c r="F15" s="31" t="inlineStr">
        <is>
          <t>星期五</t>
        </is>
      </c>
      <c r="G15" s="32" t="inlineStr">
        <is>
          <t>星期六</t>
        </is>
      </c>
      <c r="H15" s="32" t="inlineStr">
        <is>
          <t>星期日</t>
        </is>
      </c>
    </row>
    <row r="16">
      <c r="A16" s="33" t="inlineStr">
        <is>
          <t>每日總工時</t>
        </is>
      </c>
      <c r="B16" s="20">
        <f>SUMIFS('員工更表輸入'!$G$5:$G$39,'員工更表輸入'!$B$5:$B$39,"星期一")</f>
        <v/>
      </c>
      <c r="C16" s="20">
        <f>SUMIFS('員工更表輸入'!$G$5:$G$39,'員工更表輸入'!$B$5:$B$39,"星期二")</f>
        <v/>
      </c>
      <c r="D16" s="20">
        <f>SUMIFS('員工更表輸入'!$G$5:$G$39,'員工更表輸入'!$B$5:$B$39,"星期三")</f>
        <v/>
      </c>
      <c r="E16" s="20">
        <f>SUMIFS('員工更表輸入'!$G$5:$G$39,'員工更表輸入'!$B$5:$B$39,"星期四")</f>
        <v/>
      </c>
      <c r="F16" s="20">
        <f>SUMIFS('員工更表輸入'!$G$5:$G$39,'員工更表輸入'!$B$5:$B$39,"星期五")</f>
        <v/>
      </c>
      <c r="G16" s="20">
        <f>SUMIFS('員工更表輸入'!$G$5:$G$39,'員工更表輸入'!$B$5:$B$39,"星期六")</f>
        <v/>
      </c>
      <c r="H16" s="20">
        <f>SUMIFS('員工更表輸入'!$G$5:$G$39,'員工更表輸入'!$B$5:$B$39,"星期日")</f>
        <v/>
      </c>
    </row>
    <row r="17">
      <c r="A17" s="33" t="inlineStr">
        <is>
          <t>無人覆蓋時段數</t>
        </is>
      </c>
      <c r="B17" s="36">
        <f>COUNTIF('主排更表'!$B$5:$B$29,0)</f>
        <v/>
      </c>
      <c r="C17" s="36">
        <f>COUNTIF('主排更表'!$C$5:$C$29,0)</f>
        <v/>
      </c>
      <c r="D17" s="36">
        <f>COUNTIF('主排更表'!$D$5:$D$29,0)</f>
        <v/>
      </c>
      <c r="E17" s="36">
        <f>COUNTIF('主排更表'!$E$5:$E$29,0)</f>
        <v/>
      </c>
      <c r="F17" s="36">
        <f>COUNTIF('主排更表'!$F$5:$F$29,0)</f>
        <v/>
      </c>
      <c r="G17" s="36">
        <f>COUNTIF('主排更表'!$G$5:$G$29,0)</f>
        <v/>
      </c>
      <c r="H17" s="36">
        <f>COUNTIF('主排更表'!$H$5:$H$29,0)</f>
        <v/>
      </c>
    </row>
    <row r="18">
      <c r="A18" s="33" t="inlineStr">
        <is>
          <t>人手不足時段數</t>
        </is>
      </c>
      <c r="B18" s="36">
        <f>SUMPRODUCT(('主排更表'!$B$5:$B$29&gt;0)*('主排更表'!$B$5:$B$29&lt;'主排更表'!$Z$5:$Z$29))</f>
        <v/>
      </c>
      <c r="C18" s="36">
        <f>SUMPRODUCT(('主排更表'!$C$5:$C$29&gt;0)*('主排更表'!$C$5:$C$29&lt;'主排更表'!$AA$5:$AA$29))</f>
        <v/>
      </c>
      <c r="D18" s="36">
        <f>SUMPRODUCT(('主排更表'!$D$5:$D$29&gt;0)*('主排更表'!$D$5:$D$29&lt;'主排更表'!$AB$5:$AB$29))</f>
        <v/>
      </c>
      <c r="E18" s="36">
        <f>SUMPRODUCT(('主排更表'!$E$5:$E$29&gt;0)*('主排更表'!$E$5:$E$29&lt;'主排更表'!$AC$5:$AC$29))</f>
        <v/>
      </c>
      <c r="F18" s="36">
        <f>SUMPRODUCT(('主排更表'!$F$5:$F$29&gt;0)*('主排更表'!$F$5:$F$29&lt;'主排更表'!$AD$5:$AD$29))</f>
        <v/>
      </c>
      <c r="G18" s="36">
        <f>SUMPRODUCT(('主排更表'!$G$5:$G$29&gt;0)*('主排更表'!$G$5:$G$29&lt;'主排更表'!$AE$5:$AE$29))</f>
        <v/>
      </c>
      <c r="H18" s="36">
        <f>SUMPRODUCT(('主排更表'!$H$5:$H$29&gt;0)*('主排更表'!$H$5:$H$29&lt;'主排更表'!$AF$5:$AF$29))</f>
        <v/>
      </c>
    </row>
    <row r="21">
      <c r="A21" s="4" t="inlineStr">
        <is>
          <t>③ 問題時段清單</t>
        </is>
      </c>
    </row>
    <row r="22">
      <c r="A22" s="30" t="inlineStr">
        <is>
          <t>星期</t>
        </is>
      </c>
      <c r="B22" s="30" t="inlineStr">
        <is>
          <t>無人覆蓋時段</t>
        </is>
      </c>
      <c r="E22" s="30" t="inlineStr">
        <is>
          <t>人手不足時段</t>
        </is>
      </c>
    </row>
    <row r="23">
      <c r="A23" s="6" t="inlineStr">
        <is>
          <t>星期一</t>
        </is>
      </c>
      <c r="B23" s="3">
        <f t="array" ref="B23">TEXTJOIN(", ",TRUE,IF('主排更表'!$B$5:$B$29=0,Lists!$E$2:$E$26,""))</f>
        <v/>
      </c>
      <c r="E23" s="3">
        <f t="array" ref="E23">TEXTJOIN(", ",TRUE,IF(('主排更表'!$B$5:$B$29&gt;0)*('主排更表'!$B$5:$B$29&lt;'主排更表'!$Z$5:$Z$29),Lists!$E$2:$E$26,""))</f>
        <v/>
      </c>
    </row>
    <row r="24">
      <c r="A24" s="6" t="inlineStr">
        <is>
          <t>星期二</t>
        </is>
      </c>
      <c r="B24" s="3">
        <f t="array" ref="B24">TEXTJOIN(", ",TRUE,IF('主排更表'!$C$5:$C$29=0,Lists!$E$2:$E$26,""))</f>
        <v/>
      </c>
      <c r="E24" s="3">
        <f t="array" ref="E24">TEXTJOIN(", ",TRUE,IF(('主排更表'!$C$5:$C$29&gt;0)*('主排更表'!$C$5:$C$29&lt;'主排更表'!$AA$5:$AA$29),Lists!$E$2:$E$26,""))</f>
        <v/>
      </c>
    </row>
    <row r="25">
      <c r="A25" s="6" t="inlineStr">
        <is>
          <t>星期三</t>
        </is>
      </c>
      <c r="B25" s="3">
        <f t="array" ref="B25">TEXTJOIN(", ",TRUE,IF('主排更表'!$D$5:$D$29=0,Lists!$E$2:$E$26,""))</f>
        <v/>
      </c>
      <c r="E25" s="3">
        <f t="array" ref="E25">TEXTJOIN(", ",TRUE,IF(('主排更表'!$D$5:$D$29&gt;0)*('主排更表'!$D$5:$D$29&lt;'主排更表'!$AB$5:$AB$29),Lists!$E$2:$E$26,""))</f>
        <v/>
      </c>
    </row>
    <row r="26">
      <c r="A26" s="6" t="inlineStr">
        <is>
          <t>星期四</t>
        </is>
      </c>
      <c r="B26" s="3">
        <f t="array" ref="B26">TEXTJOIN(", ",TRUE,IF('主排更表'!$E$5:$E$29=0,Lists!$E$2:$E$26,""))</f>
        <v/>
      </c>
      <c r="E26" s="3">
        <f t="array" ref="E26">TEXTJOIN(", ",TRUE,IF(('主排更表'!$E$5:$E$29&gt;0)*('主排更表'!$E$5:$E$29&lt;'主排更表'!$AC$5:$AC$29),Lists!$E$2:$E$26,""))</f>
        <v/>
      </c>
    </row>
    <row r="27">
      <c r="A27" s="6" t="inlineStr">
        <is>
          <t>星期五</t>
        </is>
      </c>
      <c r="B27" s="3">
        <f t="array" ref="B27">TEXTJOIN(", ",TRUE,IF('主排更表'!$F$5:$F$29=0,Lists!$E$2:$E$26,""))</f>
        <v/>
      </c>
      <c r="E27" s="3">
        <f t="array" ref="E27">TEXTJOIN(", ",TRUE,IF(('主排更表'!$F$5:$F$29&gt;0)*('主排更表'!$F$5:$F$29&lt;'主排更表'!$AD$5:$AD$29),Lists!$E$2:$E$26,""))</f>
        <v/>
      </c>
    </row>
    <row r="28">
      <c r="A28" s="6" t="inlineStr">
        <is>
          <t>星期六</t>
        </is>
      </c>
      <c r="B28" s="3">
        <f t="array" ref="B28">TEXTJOIN(", ",TRUE,IF('主排更表'!$G$5:$G$29=0,Lists!$E$2:$E$26,""))</f>
        <v/>
      </c>
      <c r="E28" s="3">
        <f t="array" ref="E28">TEXTJOIN(", ",TRUE,IF(('主排更表'!$G$5:$G$29&gt;0)*('主排更表'!$G$5:$G$29&lt;'主排更表'!$AE$5:$AE$29),Lists!$E$2:$E$26,""))</f>
        <v/>
      </c>
    </row>
    <row r="29">
      <c r="A29" s="6" t="inlineStr">
        <is>
          <t>星期日</t>
        </is>
      </c>
      <c r="B29" s="3">
        <f t="array" ref="B29">TEXTJOIN(", ",TRUE,IF('主排更表'!$H$5:$H$29=0,Lists!$E$2:$E$26,""))</f>
        <v/>
      </c>
      <c r="E29" s="3">
        <f t="array" ref="E29">TEXTJOIN(", ",TRUE,IF(('主排更表'!$H$5:$H$29&gt;0)*('主排更表'!$H$5:$H$29&lt;'主排更表'!$AF$5:$AF$29),Lists!$E$2:$E$26,""))</f>
        <v/>
      </c>
    </row>
    <row r="31">
      <c r="A31" s="6" t="inlineStr">
        <is>
          <t>排班錯誤總數</t>
        </is>
      </c>
      <c r="B31">
        <f>SUMPRODUCT((LEN('員工更表輸入'!$H$5:$H$39)&gt;0)*1)</f>
        <v/>
      </c>
    </row>
  </sheetData>
  <mergeCells count="20">
    <mergeCell ref="E28:G28"/>
    <mergeCell ref="B23:D23"/>
    <mergeCell ref="B29:D29"/>
    <mergeCell ref="A21:I21"/>
    <mergeCell ref="B28:D28"/>
    <mergeCell ref="E27:G27"/>
    <mergeCell ref="A14:I14"/>
    <mergeCell ref="E26:G26"/>
    <mergeCell ref="E25:G25"/>
    <mergeCell ref="B24:D24"/>
    <mergeCell ref="A1:M1"/>
    <mergeCell ref="E22:G22"/>
    <mergeCell ref="B26:D26"/>
    <mergeCell ref="B25:D25"/>
    <mergeCell ref="E24:G24"/>
    <mergeCell ref="B22:D22"/>
    <mergeCell ref="E23:G23"/>
    <mergeCell ref="B27:D27"/>
    <mergeCell ref="A3:M3"/>
    <mergeCell ref="E29:G29"/>
  </mergeCells>
  <conditionalFormatting sqref="L5:L9">
    <cfRule type="expression" priority="1" dxfId="8" stopIfTrue="1">
      <formula>AND(K5&gt;0,L5&lt;0)</formula>
    </cfRule>
    <cfRule type="expression" priority="2" dxfId="9">
      <formula>AND(K5&gt;0,L5&gt;=0)</formula>
    </cfRule>
  </conditionalFormatting>
  <conditionalFormatting sqref="B31">
    <cfRule type="cellIs" priority="3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時間邊界 (下拉用)</t>
        </is>
      </c>
      <c r="C1" t="inlineStr">
        <is>
          <t>時段開始 (公式用)</t>
        </is>
      </c>
      <c r="E1" t="inlineStr">
        <is>
          <t>時段標籤</t>
        </is>
      </c>
      <c r="G1" t="inlineStr">
        <is>
          <t>星期</t>
        </is>
      </c>
      <c r="I1" t="inlineStr">
        <is>
          <t>適用對象</t>
        </is>
      </c>
      <c r="K1" t="inlineStr">
        <is>
          <t>員工類型</t>
        </is>
      </c>
      <c r="M1" t="inlineStr">
        <is>
          <t>本週類型</t>
        </is>
      </c>
    </row>
    <row r="2">
      <c r="A2" s="13" t="n">
        <v>0.40625</v>
      </c>
      <c r="C2" s="13" t="n">
        <v>0.40625</v>
      </c>
      <c r="E2" t="inlineStr">
        <is>
          <t>9:45am-10:15am</t>
        </is>
      </c>
      <c r="G2" t="inlineStr">
        <is>
          <t>星期一</t>
        </is>
      </c>
      <c r="I2" t="inlineStr">
        <is>
          <t>全部</t>
        </is>
      </c>
      <c r="K2" t="inlineStr">
        <is>
          <t>全職</t>
        </is>
      </c>
      <c r="M2" t="inlineStr">
        <is>
          <t>長週</t>
        </is>
      </c>
    </row>
    <row r="3">
      <c r="A3" s="13" t="n">
        <v>0.4270833333333333</v>
      </c>
      <c r="C3" s="13" t="n">
        <v>0.4270833333333333</v>
      </c>
      <c r="E3" t="inlineStr">
        <is>
          <t>10:15am-10:45am</t>
        </is>
      </c>
      <c r="G3" t="inlineStr">
        <is>
          <t>星期二</t>
        </is>
      </c>
      <c r="I3" t="inlineStr">
        <is>
          <t>平日</t>
        </is>
      </c>
      <c r="K3" t="inlineStr">
        <is>
          <t>兼職</t>
        </is>
      </c>
      <c r="M3" t="inlineStr">
        <is>
          <t>短週</t>
        </is>
      </c>
    </row>
    <row r="4">
      <c r="A4" s="13" t="n">
        <v>0.4479166666666667</v>
      </c>
      <c r="C4" s="13" t="n">
        <v>0.4479166666666667</v>
      </c>
      <c r="E4" t="inlineStr">
        <is>
          <t>10:45am-11:15am</t>
        </is>
      </c>
      <c r="G4" t="inlineStr">
        <is>
          <t>星期三</t>
        </is>
      </c>
      <c r="I4" t="inlineStr">
        <is>
          <t>週末</t>
        </is>
      </c>
    </row>
    <row r="5">
      <c r="A5" s="13" t="n">
        <v>0.46875</v>
      </c>
      <c r="C5" s="13" t="n">
        <v>0.46875</v>
      </c>
      <c r="E5" t="inlineStr">
        <is>
          <t>11:15am-11:45am</t>
        </is>
      </c>
      <c r="G5" t="inlineStr">
        <is>
          <t>星期四</t>
        </is>
      </c>
      <c r="I5" t="inlineStr">
        <is>
          <t>星期一</t>
        </is>
      </c>
    </row>
    <row r="6">
      <c r="A6" s="13" t="n">
        <v>0.4895833333333333</v>
      </c>
      <c r="C6" s="13" t="n">
        <v>0.4895833333333333</v>
      </c>
      <c r="E6" t="inlineStr">
        <is>
          <t>11:45am-12:15pm</t>
        </is>
      </c>
      <c r="G6" t="inlineStr">
        <is>
          <t>星期五</t>
        </is>
      </c>
      <c r="I6" t="inlineStr">
        <is>
          <t>星期二</t>
        </is>
      </c>
    </row>
    <row r="7">
      <c r="A7" s="13" t="n">
        <v>0.5104166666666666</v>
      </c>
      <c r="C7" s="13" t="n">
        <v>0.5104166666666666</v>
      </c>
      <c r="E7" t="inlineStr">
        <is>
          <t>12:15pm-12:45pm</t>
        </is>
      </c>
      <c r="G7" t="inlineStr">
        <is>
          <t>星期六</t>
        </is>
      </c>
      <c r="I7" t="inlineStr">
        <is>
          <t>星期三</t>
        </is>
      </c>
    </row>
    <row r="8">
      <c r="A8" s="13" t="n">
        <v>0.53125</v>
      </c>
      <c r="C8" s="13" t="n">
        <v>0.53125</v>
      </c>
      <c r="E8" t="inlineStr">
        <is>
          <t>12:45pm-1:15pm</t>
        </is>
      </c>
      <c r="G8" t="inlineStr">
        <is>
          <t>星期日</t>
        </is>
      </c>
      <c r="I8" t="inlineStr">
        <is>
          <t>星期四</t>
        </is>
      </c>
    </row>
    <row r="9">
      <c r="A9" s="13" t="n">
        <v>0.5520833333333334</v>
      </c>
      <c r="C9" s="13" t="n">
        <v>0.5520833333333334</v>
      </c>
      <c r="E9" t="inlineStr">
        <is>
          <t>1:15pm-1:45pm</t>
        </is>
      </c>
      <c r="I9" t="inlineStr">
        <is>
          <t>星期五</t>
        </is>
      </c>
    </row>
    <row r="10">
      <c r="A10" s="13" t="n">
        <v>0.5729166666666666</v>
      </c>
      <c r="C10" s="13" t="n">
        <v>0.5729166666666666</v>
      </c>
      <c r="E10" t="inlineStr">
        <is>
          <t>1:45pm-2:15pm</t>
        </is>
      </c>
      <c r="I10" t="inlineStr">
        <is>
          <t>星期六</t>
        </is>
      </c>
    </row>
    <row r="11">
      <c r="A11" s="13" t="n">
        <v>0.59375</v>
      </c>
      <c r="C11" s="13" t="n">
        <v>0.59375</v>
      </c>
      <c r="E11" t="inlineStr">
        <is>
          <t>2:15pm-2:45pm</t>
        </is>
      </c>
      <c r="I11" t="inlineStr">
        <is>
          <t>星期日</t>
        </is>
      </c>
    </row>
    <row r="12">
      <c r="A12" s="13" t="n">
        <v>0.6145833333333334</v>
      </c>
      <c r="C12" s="13" t="n">
        <v>0.6145833333333334</v>
      </c>
      <c r="E12" t="inlineStr">
        <is>
          <t>2:45pm-3:15pm</t>
        </is>
      </c>
    </row>
    <row r="13">
      <c r="A13" s="13" t="n">
        <v>0.6354166666666666</v>
      </c>
      <c r="C13" s="13" t="n">
        <v>0.6354166666666666</v>
      </c>
      <c r="E13" t="inlineStr">
        <is>
          <t>3:15pm-3:45pm</t>
        </is>
      </c>
    </row>
    <row r="14">
      <c r="A14" s="13" t="n">
        <v>0.65625</v>
      </c>
      <c r="C14" s="13" t="n">
        <v>0.65625</v>
      </c>
      <c r="E14" t="inlineStr">
        <is>
          <t>3:45pm-4:15pm</t>
        </is>
      </c>
    </row>
    <row r="15">
      <c r="A15" s="13" t="n">
        <v>0.6770833333333334</v>
      </c>
      <c r="C15" s="13" t="n">
        <v>0.6770833333333334</v>
      </c>
      <c r="E15" t="inlineStr">
        <is>
          <t>4:15pm-4:45pm</t>
        </is>
      </c>
    </row>
    <row r="16">
      <c r="A16" s="13" t="n">
        <v>0.6979166666666666</v>
      </c>
      <c r="C16" s="13" t="n">
        <v>0.6979166666666666</v>
      </c>
      <c r="E16" t="inlineStr">
        <is>
          <t>4:45pm-5:15pm</t>
        </is>
      </c>
    </row>
    <row r="17">
      <c r="A17" s="13" t="n">
        <v>0.71875</v>
      </c>
      <c r="C17" s="13" t="n">
        <v>0.71875</v>
      </c>
      <c r="E17" t="inlineStr">
        <is>
          <t>5:15pm-5:45pm</t>
        </is>
      </c>
    </row>
    <row r="18">
      <c r="A18" s="13" t="n">
        <v>0.7395833333333334</v>
      </c>
      <c r="C18" s="13" t="n">
        <v>0.7395833333333334</v>
      </c>
      <c r="E18" t="inlineStr">
        <is>
          <t>5:45pm-6:15pm</t>
        </is>
      </c>
    </row>
    <row r="19">
      <c r="A19" s="13" t="n">
        <v>0.7604166666666666</v>
      </c>
      <c r="C19" s="13" t="n">
        <v>0.7604166666666666</v>
      </c>
      <c r="E19" t="inlineStr">
        <is>
          <t>6:15pm-6:45pm</t>
        </is>
      </c>
    </row>
    <row r="20">
      <c r="A20" s="13" t="n">
        <v>0.78125</v>
      </c>
      <c r="C20" s="13" t="n">
        <v>0.78125</v>
      </c>
      <c r="E20" t="inlineStr">
        <is>
          <t>6:45pm-7:15pm</t>
        </is>
      </c>
    </row>
    <row r="21">
      <c r="A21" s="13" t="n">
        <v>0.8020833333333334</v>
      </c>
      <c r="C21" s="13" t="n">
        <v>0.8020833333333334</v>
      </c>
      <c r="E21" t="inlineStr">
        <is>
          <t>7:15pm-7:45pm</t>
        </is>
      </c>
    </row>
    <row r="22">
      <c r="A22" s="13" t="n">
        <v>0.8229166666666666</v>
      </c>
      <c r="C22" s="13" t="n">
        <v>0.8229166666666666</v>
      </c>
      <c r="E22" t="inlineStr">
        <is>
          <t>7:45pm-8:15pm</t>
        </is>
      </c>
    </row>
    <row r="23">
      <c r="A23" s="13" t="n">
        <v>0.84375</v>
      </c>
      <c r="C23" s="13" t="n">
        <v>0.84375</v>
      </c>
      <c r="E23" t="inlineStr">
        <is>
          <t>8:15pm-8:45pm</t>
        </is>
      </c>
    </row>
    <row r="24">
      <c r="A24" s="13" t="n">
        <v>0.8645833333333334</v>
      </c>
      <c r="C24" s="13" t="n">
        <v>0.8645833333333334</v>
      </c>
      <c r="E24" t="inlineStr">
        <is>
          <t>8:45pm-9:15pm</t>
        </is>
      </c>
    </row>
    <row r="25">
      <c r="A25" s="13" t="n">
        <v>0.8854166666666666</v>
      </c>
      <c r="C25" s="13" t="n">
        <v>0.8854166666666666</v>
      </c>
      <c r="E25" t="inlineStr">
        <is>
          <t>9:15pm-9:45pm</t>
        </is>
      </c>
    </row>
    <row r="26">
      <c r="A26" s="13" t="n">
        <v>0.90625</v>
      </c>
      <c r="C26" s="13" t="n">
        <v>0.90625</v>
      </c>
      <c r="E26" t="inlineStr">
        <is>
          <t>9:45pm-10:15pm</t>
        </is>
      </c>
    </row>
    <row r="27">
      <c r="A27" s="13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2026-06-14T17:24:18Z</dcterms:created>
  <dcterms:modified xsi:type="dcterms:W3CDTF">2026-06-14T17:24:18Z</dcterms:modified>
</cp:coreProperties>
</file>